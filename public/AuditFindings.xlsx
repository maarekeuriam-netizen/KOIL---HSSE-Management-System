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iribatioilltd-my.sharepoint.com/personal/hsse_koil_com_ki/Documents/HSSE/Audits/"/>
    </mc:Choice>
  </mc:AlternateContent>
  <xr:revisionPtr revIDLastSave="994" documentId="13_ncr:1_{785C4F48-8955-47F4-8F85-795C02B37F9D}" xr6:coauthVersionLast="47" xr6:coauthVersionMax="47" xr10:uidLastSave="{1E0B9CA4-769E-403D-AFAE-69382FC1E8BD}"/>
  <bookViews>
    <workbookView minimized="1" xWindow="10125" yWindow="0" windowWidth="11205" windowHeight="15600" xr2:uid="{2C566CA1-5F1E-4290-8648-938843E599BA}"/>
  </bookViews>
  <sheets>
    <sheet name="Dashboard" sheetId="3" r:id="rId1"/>
    <sheet name="Progress Report" sheetId="10" r:id="rId2"/>
    <sheet name="Report Award Reports" sheetId="9" r:id="rId3"/>
    <sheet name="AUDITS" sheetId="1" r:id="rId4"/>
    <sheet name="NMI" sheetId="5" r:id="rId5"/>
    <sheet name="IR" sheetId="8" r:id="rId6"/>
    <sheet name="EI" sheetId="2" r:id="rId7"/>
    <sheet name="Audit Logs" sheetId="7" r:id="rId8"/>
    <sheet name="TR" sheetId="4" r:id="rId9"/>
    <sheet name="L.ID" sheetId="6" r:id="rId10"/>
  </sheets>
  <externalReferences>
    <externalReference r:id="rId11"/>
  </externalReferences>
  <definedNames>
    <definedName name="Close">'Progress Report'!$E$14</definedName>
    <definedName name="HAZARDS">[1]Hazards!$C$5:$F$311</definedName>
    <definedName name="In_Progress">'Progress Report'!$D$14</definedName>
    <definedName name="June" localSheetId="4">#REF!</definedName>
    <definedName name="June">#REF!</definedName>
    <definedName name="Months">'Report Award Reports'!$S$4:$T$22</definedName>
    <definedName name="NM" localSheetId="4">Table1333[]</definedName>
    <definedName name="NM">#REF!</definedName>
    <definedName name="Open">'Progress Report'!$C$14</definedName>
    <definedName name="Overdue">'Progress Report'!$F$14</definedName>
    <definedName name="PRI" localSheetId="4">#REF!</definedName>
    <definedName name="PRI">#REF!</definedName>
    <definedName name="_xlnm.Print_Area" localSheetId="2">'Report Award Reports'!$A$1:$H$35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9" i="5" l="1"/>
  <c r="O119" i="5"/>
  <c r="N118" i="5"/>
  <c r="O118" i="5"/>
  <c r="N117" i="5"/>
  <c r="O117" i="5"/>
  <c r="N116" i="5"/>
  <c r="O116" i="5"/>
  <c r="N115" i="5"/>
  <c r="O115" i="5"/>
  <c r="N114" i="5"/>
  <c r="O114" i="5"/>
  <c r="N113" i="5"/>
  <c r="O113" i="5"/>
  <c r="N112" i="5"/>
  <c r="O112" i="5"/>
  <c r="N111" i="5"/>
  <c r="O111" i="5"/>
  <c r="N110" i="5"/>
  <c r="O110" i="5"/>
  <c r="N109" i="5"/>
  <c r="O109" i="5"/>
  <c r="C6" i="3"/>
  <c r="N108" i="5"/>
  <c r="O108" i="5"/>
  <c r="N107" i="5"/>
  <c r="O107" i="5"/>
  <c r="N106" i="5"/>
  <c r="O106" i="5"/>
  <c r="N105" i="5"/>
  <c r="O105" i="5"/>
  <c r="N104" i="5"/>
  <c r="O104" i="5"/>
  <c r="N103" i="5"/>
  <c r="O103" i="5"/>
  <c r="A4" i="5"/>
  <c r="A5" i="5"/>
  <c r="A6" i="5"/>
  <c r="A7" i="5"/>
  <c r="A8" i="5"/>
  <c r="A9" i="5"/>
  <c r="A11" i="5"/>
  <c r="A12" i="5"/>
  <c r="A13" i="5"/>
  <c r="A16" i="5"/>
  <c r="A17" i="5"/>
  <c r="A18" i="5"/>
  <c r="A19" i="5"/>
  <c r="A20" i="5"/>
  <c r="A21" i="5"/>
  <c r="A22" i="5"/>
  <c r="A23" i="5"/>
  <c r="A24" i="5"/>
  <c r="A25" i="5"/>
  <c r="A26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N102" i="5"/>
  <c r="O102" i="5"/>
  <c r="N101" i="5"/>
  <c r="O101" i="5"/>
  <c r="N100" i="5"/>
  <c r="O100" i="5"/>
  <c r="N99" i="5"/>
  <c r="O99" i="5"/>
  <c r="N98" i="5"/>
  <c r="O98" i="5"/>
  <c r="N97" i="5"/>
  <c r="O97" i="5"/>
  <c r="N96" i="5"/>
  <c r="O96" i="5"/>
  <c r="N95" i="5"/>
  <c r="O95" i="5"/>
  <c r="N94" i="5"/>
  <c r="O94" i="5"/>
  <c r="N93" i="5"/>
  <c r="O93" i="5"/>
  <c r="N92" i="5"/>
  <c r="O92" i="5"/>
  <c r="N91" i="5"/>
  <c r="O91" i="5"/>
  <c r="N90" i="5"/>
  <c r="O90" i="5"/>
  <c r="N89" i="5"/>
  <c r="O89" i="5"/>
  <c r="N88" i="5"/>
  <c r="O88" i="5"/>
  <c r="N87" i="5"/>
  <c r="O87" i="5"/>
  <c r="N86" i="5"/>
  <c r="O86" i="5"/>
  <c r="N85" i="5"/>
  <c r="O85" i="5"/>
  <c r="N84" i="5"/>
  <c r="O84" i="5"/>
  <c r="N83" i="5"/>
  <c r="O83" i="5"/>
  <c r="N82" i="5"/>
  <c r="O82" i="5"/>
  <c r="N81" i="5"/>
  <c r="O81" i="5"/>
  <c r="N80" i="5"/>
  <c r="O80" i="5"/>
  <c r="N79" i="5"/>
  <c r="O79" i="5"/>
  <c r="N78" i="5"/>
  <c r="O78" i="5"/>
  <c r="N77" i="5"/>
  <c r="O77" i="5"/>
  <c r="N76" i="5"/>
  <c r="O76" i="5"/>
  <c r="N75" i="5"/>
  <c r="O75" i="5"/>
  <c r="N74" i="5"/>
  <c r="O74" i="5"/>
  <c r="N73" i="5"/>
  <c r="O73" i="5"/>
  <c r="N72" i="5"/>
  <c r="O72" i="5"/>
  <c r="N71" i="5"/>
  <c r="O71" i="5"/>
  <c r="N70" i="5"/>
  <c r="O70" i="5"/>
  <c r="N69" i="5"/>
  <c r="O69" i="5"/>
  <c r="F68" i="5"/>
  <c r="N68" i="5"/>
  <c r="O68" i="5"/>
  <c r="F67" i="5"/>
  <c r="N67" i="5"/>
  <c r="O67" i="5"/>
  <c r="F66" i="5"/>
  <c r="N66" i="5"/>
  <c r="O66" i="5"/>
  <c r="F65" i="5"/>
  <c r="N65" i="5"/>
  <c r="O65" i="5"/>
  <c r="F64" i="5"/>
  <c r="N64" i="5"/>
  <c r="O64" i="5"/>
  <c r="F63" i="5"/>
  <c r="N63" i="5"/>
  <c r="O63" i="5"/>
  <c r="F62" i="5"/>
  <c r="N62" i="5"/>
  <c r="O62" i="5"/>
  <c r="F61" i="5"/>
  <c r="N61" i="5"/>
  <c r="O61" i="5"/>
  <c r="F60" i="5"/>
  <c r="N60" i="5"/>
  <c r="O60" i="5"/>
  <c r="F59" i="5"/>
  <c r="N59" i="5"/>
  <c r="O59" i="5"/>
  <c r="F58" i="5"/>
  <c r="N58" i="5"/>
  <c r="O58" i="5"/>
  <c r="F57" i="5"/>
  <c r="N57" i="5"/>
  <c r="O57" i="5"/>
  <c r="F56" i="5"/>
  <c r="N56" i="5"/>
  <c r="O56" i="5"/>
  <c r="F55" i="5"/>
  <c r="N55" i="5"/>
  <c r="O55" i="5"/>
  <c r="F54" i="5"/>
  <c r="N54" i="5"/>
  <c r="O54" i="5"/>
  <c r="F53" i="5"/>
  <c r="N53" i="5"/>
  <c r="O53" i="5"/>
  <c r="F52" i="5"/>
  <c r="N52" i="5"/>
  <c r="O52" i="5"/>
  <c r="F51" i="5"/>
  <c r="N51" i="5"/>
  <c r="O51" i="5"/>
  <c r="F50" i="5"/>
  <c r="N50" i="5"/>
  <c r="O50" i="5"/>
  <c r="F49" i="5"/>
  <c r="N49" i="5"/>
  <c r="O49" i="5"/>
  <c r="F20" i="5"/>
  <c r="N25" i="5"/>
  <c r="D15" i="10"/>
  <c r="C15" i="10"/>
  <c r="B20" i="10"/>
  <c r="B19" i="10"/>
  <c r="B18" i="10"/>
  <c r="B17" i="10"/>
  <c r="B16" i="10"/>
  <c r="B15" i="10"/>
  <c r="H9" i="3"/>
  <c r="N5" i="5"/>
  <c r="N6" i="5"/>
  <c r="N22" i="5"/>
  <c r="N24" i="5"/>
  <c r="N14" i="5"/>
  <c r="N37" i="5"/>
  <c r="N38" i="5"/>
  <c r="N16" i="5"/>
  <c r="N33" i="5"/>
  <c r="N39" i="5"/>
  <c r="N44" i="5"/>
  <c r="N40" i="5"/>
  <c r="N17" i="5"/>
  <c r="N4" i="5"/>
  <c r="N18" i="5"/>
  <c r="N41" i="5"/>
  <c r="N21" i="5"/>
  <c r="N32" i="5"/>
  <c r="N34" i="5"/>
  <c r="N23" i="5"/>
  <c r="N7" i="5"/>
  <c r="N26" i="5"/>
  <c r="N27" i="5"/>
  <c r="N36" i="5"/>
  <c r="N42" i="5"/>
  <c r="N43" i="5"/>
  <c r="N35" i="5"/>
  <c r="N8" i="5"/>
  <c r="N31" i="5"/>
  <c r="N28" i="5"/>
  <c r="N19" i="5"/>
  <c r="N9" i="5"/>
  <c r="N10" i="5"/>
  <c r="N11" i="5"/>
  <c r="N15" i="5"/>
  <c r="N12" i="5"/>
  <c r="N13" i="5"/>
  <c r="N47" i="5"/>
  <c r="N29" i="5"/>
  <c r="N20" i="5"/>
  <c r="N45" i="5"/>
  <c r="N30" i="5"/>
  <c r="N46" i="5"/>
  <c r="N48" i="5"/>
  <c r="A37" i="1"/>
  <c r="O37" i="1"/>
  <c r="C6" i="9"/>
  <c r="C31" i="9"/>
  <c r="C32" i="9"/>
  <c r="C33" i="9"/>
  <c r="C34" i="9"/>
  <c r="C35" i="9"/>
  <c r="F26" i="5"/>
  <c r="C14" i="3"/>
  <c r="C18" i="3"/>
  <c r="E31" i="9"/>
  <c r="E32" i="9"/>
  <c r="E33" i="9"/>
  <c r="E34" i="9"/>
  <c r="E35" i="9"/>
  <c r="O5" i="5"/>
  <c r="O6" i="5"/>
  <c r="O22" i="5"/>
  <c r="O24" i="5"/>
  <c r="O25" i="5"/>
  <c r="O14" i="5"/>
  <c r="O26" i="5"/>
  <c r="O27" i="5"/>
  <c r="O37" i="5"/>
  <c r="O38" i="5"/>
  <c r="O16" i="5"/>
  <c r="O33" i="5"/>
  <c r="O39" i="5"/>
  <c r="O44" i="5"/>
  <c r="O40" i="5"/>
  <c r="O17" i="5"/>
  <c r="O4" i="5"/>
  <c r="O18" i="5"/>
  <c r="O41" i="5"/>
  <c r="O21" i="5"/>
  <c r="O32" i="5"/>
  <c r="O34" i="5"/>
  <c r="O23" i="5"/>
  <c r="O7" i="5"/>
  <c r="O36" i="5"/>
  <c r="O8" i="5"/>
  <c r="O31" i="5"/>
  <c r="O42" i="5"/>
  <c r="O43" i="5"/>
  <c r="O35" i="5"/>
  <c r="O28" i="5"/>
  <c r="O19" i="5"/>
  <c r="O9" i="5"/>
  <c r="O10" i="5"/>
  <c r="O11" i="5"/>
  <c r="O15" i="5"/>
  <c r="O12" i="5"/>
  <c r="O13" i="5"/>
  <c r="O47" i="5"/>
  <c r="O29" i="5"/>
  <c r="O20" i="5"/>
  <c r="O45" i="5"/>
  <c r="O30" i="5"/>
  <c r="O46" i="5"/>
  <c r="O48" i="5"/>
  <c r="O36" i="1"/>
  <c r="C7" i="3"/>
  <c r="F18" i="3"/>
  <c r="F17" i="3"/>
  <c r="F16" i="3"/>
  <c r="F15" i="3"/>
  <c r="Q5" i="9"/>
  <c r="Q7" i="9" s="1"/>
  <c r="C17" i="3"/>
  <c r="O4" i="1"/>
  <c r="O28" i="1"/>
  <c r="O8" i="1"/>
  <c r="O6" i="1"/>
  <c r="O27" i="1"/>
  <c r="O26" i="1"/>
  <c r="O29" i="1"/>
  <c r="O33" i="1"/>
  <c r="O32" i="1"/>
  <c r="O24" i="1"/>
  <c r="O11" i="1"/>
  <c r="O21" i="1"/>
  <c r="O23" i="1"/>
  <c r="O5" i="1"/>
  <c r="O9" i="1"/>
  <c r="O34" i="1"/>
  <c r="O22" i="1"/>
  <c r="O20" i="1"/>
  <c r="O16" i="1"/>
  <c r="O18" i="1"/>
  <c r="O19" i="1"/>
  <c r="O17" i="1"/>
  <c r="O13" i="1"/>
  <c r="O7" i="1"/>
  <c r="O15" i="1"/>
  <c r="O14" i="1"/>
  <c r="O30" i="1"/>
  <c r="O31" i="1"/>
  <c r="O35" i="1"/>
  <c r="O25" i="1"/>
  <c r="O12" i="1"/>
  <c r="O10" i="1"/>
  <c r="C8" i="3"/>
  <c r="F14" i="3"/>
  <c r="C5" i="3"/>
  <c r="C4" i="3"/>
  <c r="C3" i="3"/>
  <c r="A5" i="1"/>
  <c r="A4" i="1"/>
  <c r="A12" i="1"/>
  <c r="A11" i="1"/>
  <c r="A6" i="1"/>
  <c r="A16" i="1"/>
  <c r="A18" i="1"/>
  <c r="A19" i="1"/>
  <c r="A17" i="1"/>
  <c r="A13" i="1"/>
  <c r="A7" i="1"/>
  <c r="A15" i="1"/>
  <c r="A14" i="1"/>
  <c r="A8" i="1"/>
  <c r="A27" i="1"/>
  <c r="A32" i="1"/>
  <c r="A28" i="1"/>
  <c r="A26" i="1"/>
  <c r="A25" i="1"/>
  <c r="A30" i="1"/>
  <c r="A29" i="1"/>
  <c r="A35" i="1"/>
  <c r="A10" i="1"/>
  <c r="A34" i="1"/>
  <c r="A33" i="1"/>
  <c r="A31" i="1"/>
  <c r="A36" i="1"/>
  <c r="A22" i="1"/>
  <c r="A20" i="1"/>
  <c r="A21" i="1"/>
  <c r="A23" i="1"/>
  <c r="A24" i="1"/>
  <c r="A9" i="1"/>
  <c r="F5" i="5"/>
  <c r="F6" i="5"/>
  <c r="F22" i="5"/>
  <c r="F24" i="5"/>
  <c r="F25" i="5"/>
  <c r="F14" i="5"/>
  <c r="F27" i="5"/>
  <c r="F37" i="5"/>
  <c r="F38" i="5"/>
  <c r="F16" i="5"/>
  <c r="F33" i="5"/>
  <c r="F39" i="5"/>
  <c r="F44" i="5"/>
  <c r="F40" i="5"/>
  <c r="F17" i="5"/>
  <c r="F4" i="5"/>
  <c r="F18" i="5"/>
  <c r="F41" i="5"/>
  <c r="F21" i="5"/>
  <c r="F32" i="5"/>
  <c r="F34" i="5"/>
  <c r="F23" i="5"/>
  <c r="F7" i="5"/>
  <c r="F36" i="5"/>
  <c r="F8" i="5"/>
  <c r="F31" i="5"/>
  <c r="F42" i="5"/>
  <c r="F43" i="5"/>
  <c r="F35" i="5"/>
  <c r="F28" i="5"/>
  <c r="F19" i="5"/>
  <c r="F9" i="5"/>
  <c r="F10" i="5"/>
  <c r="F11" i="5"/>
  <c r="F15" i="5"/>
  <c r="F12" i="5"/>
  <c r="F13" i="5"/>
  <c r="F47" i="5"/>
  <c r="F29" i="5"/>
  <c r="F45" i="5"/>
  <c r="F30" i="5"/>
  <c r="F46" i="5"/>
  <c r="F48" i="5"/>
  <c r="A15" i="5"/>
  <c r="A10" i="5"/>
  <c r="A27" i="5"/>
  <c r="A14" i="5"/>
  <c r="C16" i="3"/>
  <c r="C15" i="3"/>
  <c r="C26" i="9"/>
  <c r="C30" i="9"/>
  <c r="E26" i="9"/>
  <c r="E30" i="9"/>
  <c r="C27" i="9"/>
  <c r="E27" i="9"/>
  <c r="C25" i="9"/>
  <c r="C29" i="9"/>
  <c r="E25" i="9"/>
  <c r="E29" i="9"/>
  <c r="C28" i="9"/>
  <c r="E28" i="9"/>
  <c r="C22" i="3" l="1"/>
  <c r="C26" i="3"/>
  <c r="C25" i="3"/>
  <c r="C24" i="3"/>
  <c r="F23" i="3"/>
  <c r="C23" i="3"/>
  <c r="D14" i="9" a="1"/>
  <c r="F22" i="3"/>
  <c r="E23" i="9" l="1"/>
  <c r="E24" i="9"/>
  <c r="C21" i="9"/>
  <c r="E19" i="9"/>
  <c r="C16" i="9"/>
  <c r="E16" i="9"/>
  <c r="C17" i="9"/>
  <c r="E22" i="9"/>
  <c r="C20" i="9"/>
  <c r="C19" i="9"/>
  <c r="E15" i="9"/>
  <c r="E21" i="9"/>
  <c r="C18" i="9"/>
  <c r="E17" i="9"/>
  <c r="C23" i="9"/>
  <c r="C24" i="9"/>
  <c r="C22" i="9"/>
  <c r="E20" i="9"/>
  <c r="C15" i="9"/>
  <c r="D14" i="9"/>
  <c r="E18" i="9"/>
  <c r="C14" i="9" l="1"/>
  <c r="E1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<sst xmlns="http://schemas.openxmlformats.org/spreadsheetml/2006/main" count="1519" uniqueCount="746">
  <si>
    <t>A. Finding SOURCES</t>
  </si>
  <si>
    <t>B. Content</t>
  </si>
  <si>
    <t>Source</t>
  </si>
  <si>
    <t>No. Findings</t>
  </si>
  <si>
    <t>Audit Source</t>
  </si>
  <si>
    <t>Worksheet Title</t>
  </si>
  <si>
    <t>CAAK</t>
  </si>
  <si>
    <t>Audits &amp; Walkabout</t>
  </si>
  <si>
    <t>AUDITS</t>
  </si>
  <si>
    <t>HSSE</t>
  </si>
  <si>
    <t>Near Miss Report</t>
  </si>
  <si>
    <t>NMR</t>
  </si>
  <si>
    <t>SSCWB</t>
  </si>
  <si>
    <t>Incident Report</t>
  </si>
  <si>
    <t>IR</t>
  </si>
  <si>
    <t>Electrical Inspection</t>
  </si>
  <si>
    <t>EI</t>
  </si>
  <si>
    <t>LOD3 E.Insp</t>
  </si>
  <si>
    <t>A.1. HSSE &amp; ADUITs Findings</t>
  </si>
  <si>
    <t>A.2. Nearmiss Findings</t>
  </si>
  <si>
    <t>Item</t>
  </si>
  <si>
    <t>Counts</t>
  </si>
  <si>
    <t>🔢 Total Findings</t>
  </si>
  <si>
    <t>✅ Closed Findings</t>
  </si>
  <si>
    <t>⏳ Open Findings</t>
  </si>
  <si>
    <t>🚨 Overdue Findings</t>
  </si>
  <si>
    <t>➡ In Progress</t>
  </si>
  <si>
    <t>BY Month</t>
  </si>
  <si>
    <t>By Month</t>
  </si>
  <si>
    <t>Month</t>
  </si>
  <si>
    <t>Findings</t>
  </si>
  <si>
    <t>Mar</t>
  </si>
  <si>
    <t>Jun</t>
  </si>
  <si>
    <t>Apr</t>
  </si>
  <si>
    <t>Jul</t>
  </si>
  <si>
    <t>May</t>
  </si>
  <si>
    <t>HSSE MONTHLY REPORT</t>
  </si>
  <si>
    <t>Acronyms</t>
  </si>
  <si>
    <t>DATE:</t>
  </si>
  <si>
    <t>Civil Aviation Authority Kiribati</t>
  </si>
  <si>
    <t>By</t>
  </si>
  <si>
    <t>HSSEF</t>
  </si>
  <si>
    <t>Health Safety Security Environment</t>
  </si>
  <si>
    <t>Report for</t>
  </si>
  <si>
    <t>SSC Walk About</t>
  </si>
  <si>
    <t>Near Miss Reporting</t>
  </si>
  <si>
    <t>Incident Reporting</t>
  </si>
  <si>
    <t>Line of Defense Inspection - Electrical</t>
  </si>
  <si>
    <t>Progress Summary Table</t>
  </si>
  <si>
    <t>No. Reports</t>
  </si>
  <si>
    <t>Open</t>
  </si>
  <si>
    <t>In Progress</t>
  </si>
  <si>
    <t>Close</t>
  </si>
  <si>
    <t>Overdue</t>
  </si>
  <si>
    <t>Remarks</t>
  </si>
  <si>
    <t>NMA</t>
  </si>
  <si>
    <t>2-25</t>
  </si>
  <si>
    <t>Employee Near Miss Reporting</t>
  </si>
  <si>
    <t>Dates</t>
  </si>
  <si>
    <t>Statistics for :</t>
  </si>
  <si>
    <t>July</t>
  </si>
  <si>
    <t>For the month</t>
  </si>
  <si>
    <t>January</t>
  </si>
  <si>
    <t>Date:</t>
  </si>
  <si>
    <t>This report summarizes the Near Miss participation for the specified period. Below is the list of staff members and the number of Near Miss reports they have submitted.</t>
  </si>
  <si>
    <t>End of Month (Auto)</t>
  </si>
  <si>
    <t>February</t>
  </si>
  <si>
    <t>Staff &amp; No. of Nearmiss reported</t>
  </si>
  <si>
    <t>March</t>
  </si>
  <si>
    <t>April</t>
  </si>
  <si>
    <t>June</t>
  </si>
  <si>
    <t>August</t>
  </si>
  <si>
    <t>September</t>
  </si>
  <si>
    <t>October</t>
  </si>
  <si>
    <t>November</t>
  </si>
  <si>
    <t>December</t>
  </si>
  <si>
    <t>HSSE Findings Register</t>
  </si>
  <si>
    <t>Item#</t>
  </si>
  <si>
    <t>Audit Date</t>
  </si>
  <si>
    <t>LOCID</t>
  </si>
  <si>
    <t>Location ID</t>
  </si>
  <si>
    <t>Risk</t>
  </si>
  <si>
    <t>Recommendation</t>
  </si>
  <si>
    <t>Responsible Officer</t>
  </si>
  <si>
    <t>Status</t>
  </si>
  <si>
    <t>Target Date</t>
  </si>
  <si>
    <t>% complete</t>
  </si>
  <si>
    <t>Actual Date</t>
  </si>
  <si>
    <t>Serverity</t>
  </si>
  <si>
    <t>Bon</t>
  </si>
  <si>
    <t>Calibration of Testing equipments</t>
  </si>
  <si>
    <t>Undetected contaminations</t>
  </si>
  <si>
    <t>Invite calibration party to conduct calibration</t>
  </si>
  <si>
    <t>Admin</t>
  </si>
  <si>
    <t>Closed</t>
  </si>
  <si>
    <t>High</t>
  </si>
  <si>
    <t>BET</t>
  </si>
  <si>
    <t>Training for refreshers have not been conducted</t>
  </si>
  <si>
    <t>Not comply to aviation</t>
  </si>
  <si>
    <t>ADS recruitment in order to run ACE refresher training</t>
  </si>
  <si>
    <t>Management</t>
  </si>
  <si>
    <t>TBC</t>
  </si>
  <si>
    <t>entering restricted area without complete ppe</t>
  </si>
  <si>
    <t>Injury/rules violation</t>
  </si>
  <si>
    <t xml:space="preserve">Train and awareness of NMI and Safe practice
To inform those who are referred in this spot </t>
  </si>
  <si>
    <t>Low</t>
  </si>
  <si>
    <t>NTTFS</t>
  </si>
  <si>
    <t>Calibration required for Meters 
ULP meter off 50L less
ADO meter off by 30L less</t>
  </si>
  <si>
    <t>Stock issue</t>
  </si>
  <si>
    <t>Calibration needed to ensure precision</t>
  </si>
  <si>
    <t>Operation</t>
  </si>
  <si>
    <t>Filter change for meter strainers</t>
  </si>
  <si>
    <t>Dirty fuel/meter damage</t>
  </si>
  <si>
    <t>Fitters to maintain filter and strainer inspection</t>
  </si>
  <si>
    <t>Fitters</t>
  </si>
  <si>
    <t>Medium</t>
  </si>
  <si>
    <t>Admin and Operation office</t>
  </si>
  <si>
    <t>Office Building Integrity is quite old and risky</t>
  </si>
  <si>
    <t>Fatal, Building Collapse</t>
  </si>
  <si>
    <t>To invite a structural engineer on the building assessment</t>
  </si>
  <si>
    <t>Firepump</t>
  </si>
  <si>
    <t>Team performing hot works without F.E onsite</t>
  </si>
  <si>
    <t>Fire Hazard</t>
  </si>
  <si>
    <t>Ensure works is conducted in accordance with work permit</t>
  </si>
  <si>
    <t>Team Leader</t>
  </si>
  <si>
    <t>Holes and posts of the fence damaged</t>
  </si>
  <si>
    <t>unauthorize access</t>
  </si>
  <si>
    <t>To construct a concrete-type fence with a security fence</t>
  </si>
  <si>
    <t>Maintenance/Contractor</t>
  </si>
  <si>
    <t>In progress</t>
  </si>
  <si>
    <t>documentation of aviation release was not completed</t>
  </si>
  <si>
    <t>To sign off the release note and to remove copy for filing</t>
  </si>
  <si>
    <t>OS</t>
  </si>
  <si>
    <t>More than 3 drums are stored at the NTTFS</t>
  </si>
  <si>
    <t>contamination/STF</t>
  </si>
  <si>
    <t>3 drums is the safety requirements for transferring 3 products</t>
  </si>
  <si>
    <t>Poor House Keeping</t>
  </si>
  <si>
    <t>STF</t>
  </si>
  <si>
    <t>Need to improve house keeping</t>
  </si>
  <si>
    <t>Pipe and shed heavily corroded</t>
  </si>
  <si>
    <t>falling object/collapse structure</t>
  </si>
  <si>
    <t>Repairing needed for this</t>
  </si>
  <si>
    <t>No gas detector available for hot work purpose</t>
  </si>
  <si>
    <t>To have gas detector in place</t>
  </si>
  <si>
    <t>operation</t>
  </si>
  <si>
    <t>Static Clip for TTFS is not properly connected</t>
  </si>
  <si>
    <t>explostion</t>
  </si>
  <si>
    <t>Fixing the static cable is recommended asap</t>
  </si>
  <si>
    <t>NTF</t>
  </si>
  <si>
    <t>Tanks need painting on 
Valves
Pressure Relief lines
Stairs
Roof Rails
Roof Manholes
Tank 10 Varec Meter not working</t>
  </si>
  <si>
    <t>Leakage</t>
  </si>
  <si>
    <t>Repair and Maintenance works is needed in order to keep the tanks conditions</t>
  </si>
  <si>
    <t>NTF Yard</t>
  </si>
  <si>
    <t>Metals &amp; Scraps are stacked in the backyard, blocking the NTF back gate</t>
  </si>
  <si>
    <t>Limit access of emergency entries etc</t>
  </si>
  <si>
    <t>Removing or selling out the scraps for public use if needed</t>
  </si>
  <si>
    <t>KOIL Office</t>
  </si>
  <si>
    <t xml:space="preserve">Single-phase system, 30A reading
</t>
  </si>
  <si>
    <t>Electrical Hazards</t>
  </si>
  <si>
    <t>Okay</t>
  </si>
  <si>
    <t>None</t>
  </si>
  <si>
    <t xml:space="preserve">Betio office require new seals or conduits
Signs of aging and non-compliant installations were observed
</t>
  </si>
  <si>
    <t>Install new seals and conduits where needed
Upgrade wiring to meet current electrical safety standards</t>
  </si>
  <si>
    <t>1,15</t>
  </si>
  <si>
    <t>Operation &amp; Admin Office</t>
  </si>
  <si>
    <t>Red phase: 57A
Yellow phase: 66A
Blue phase: 49A</t>
  </si>
  <si>
    <t>2,17</t>
  </si>
  <si>
    <t>1. Main Switch Board (Backup Gen. Area)
2. Operation office main switch board
3. Bonriki Main Switch Board</t>
  </si>
  <si>
    <t xml:space="preserve">Both Betio and Bonriki offices have uncovered electrical switchboards
Live wires exposed in the main distribution box — poses significant electric shock and fire hazards.
</t>
  </si>
  <si>
    <t>Replace or properly cover the distribution boxes and switchboards at both sites. Immediate renewal and rectification are strongly advised to ensure safety compliance.</t>
  </si>
  <si>
    <t>6,7</t>
  </si>
  <si>
    <t>Old Tank Farm (Tk2,3,4)</t>
  </si>
  <si>
    <t>-Most buildings, machines, pumps, and fuel tanks have no earth wiring.
- Some grounding connections were found to be disconnected.</t>
  </si>
  <si>
    <t>Install or reconnect earth wires on all applicable equipment and structures. Conduct a full grounding test after corrections are made.</t>
  </si>
  <si>
    <t>Maintenance</t>
  </si>
  <si>
    <t>SSC WB</t>
  </si>
  <si>
    <t>To conduct drills without water</t>
  </si>
  <si>
    <t>Lack competency</t>
  </si>
  <si>
    <t>To carry out Monthly Drills</t>
  </si>
  <si>
    <t>Operation &amp; HSSE</t>
  </si>
  <si>
    <t>Waste Oil Purification</t>
  </si>
  <si>
    <t>Pile up of waste oils</t>
  </si>
  <si>
    <t>Following up on the recoiling of machine in order to have this moved forward</t>
  </si>
  <si>
    <t>Assembly area signs</t>
  </si>
  <si>
    <t>Injury/Panic</t>
  </si>
  <si>
    <t>Need to put Assembly area signs at the assembly area</t>
  </si>
  <si>
    <t>Temporary Closed by by patching them with cables and obstructions</t>
  </si>
  <si>
    <t>Lighting to be installed on required sites</t>
  </si>
  <si>
    <t xml:space="preserve">Lack Visibility </t>
  </si>
  <si>
    <t>To install lights at the designated spots, such as
Canteen, 
Pathway along canteen
at Security Fences</t>
  </si>
  <si>
    <t>Fire Extinguishers are missing at certain stations</t>
  </si>
  <si>
    <t>Replace fire extinguishers and to ensure pressure are still within acceptable readings</t>
  </si>
  <si>
    <t>Cleaning around the compound and improve housekeeping</t>
  </si>
  <si>
    <t>STF and Fire</t>
  </si>
  <si>
    <t>Compound cleaning, and ensure housekeeping is mandated</t>
  </si>
  <si>
    <t>Fire Pump Issues</t>
  </si>
  <si>
    <t>Ensure the Fire Pump is workable and is to be tested.</t>
  </si>
  <si>
    <t>Camera Survailance at required site</t>
  </si>
  <si>
    <t>Safety &amp; Security Issues</t>
  </si>
  <si>
    <t>To install camera at blindspots such as Canteen, Firepump area, Gate at cashier</t>
  </si>
  <si>
    <t>IT</t>
  </si>
  <si>
    <t xml:space="preserve">NTTFS </t>
  </si>
  <si>
    <t>Safety Signage are detached from the fence</t>
  </si>
  <si>
    <t>Lack Safety Awareness</t>
  </si>
  <si>
    <t>Reattached signs to be visible by staff, customers &amp; visitors</t>
  </si>
  <si>
    <t>Foam System</t>
  </si>
  <si>
    <t xml:space="preserve">Incomplete Foam system </t>
  </si>
  <si>
    <t>Unable to stop tank on fire</t>
  </si>
  <si>
    <t>Completing the foam system will be required for effective fire emergency response.</t>
  </si>
  <si>
    <t xml:space="preserve">NDFS required to be build  to comply to MELAD standards </t>
  </si>
  <si>
    <t>Ground spills</t>
  </si>
  <si>
    <t>Constructing a bunded wall with a drainage or a New DFS project construction</t>
  </si>
  <si>
    <t>2,14</t>
  </si>
  <si>
    <t>Vegetation and Trees (teango) grown up and triggering fire hazards to the fuel farm</t>
  </si>
  <si>
    <t>to clear all vegetation that is likely to contribute to fire hazards</t>
  </si>
  <si>
    <t xml:space="preserve">    </t>
  </si>
  <si>
    <t>NM/I no.</t>
  </si>
  <si>
    <t>Date</t>
  </si>
  <si>
    <t>Time</t>
  </si>
  <si>
    <t>Reported by</t>
  </si>
  <si>
    <t>Loc ID</t>
  </si>
  <si>
    <t>Location</t>
  </si>
  <si>
    <t>Issue</t>
  </si>
  <si>
    <t>Types of Reporting</t>
  </si>
  <si>
    <t>Action Taken</t>
  </si>
  <si>
    <t>Responsible Staff</t>
  </si>
  <si>
    <t>RD</t>
  </si>
  <si>
    <t>TD</t>
  </si>
  <si>
    <t>Angintetaake</t>
  </si>
  <si>
    <t>A person enters KOIL Depot and walk out on the other side</t>
  </si>
  <si>
    <t>Nearmiss</t>
  </si>
  <si>
    <t>Report as NearMiss</t>
  </si>
  <si>
    <t>Temporary close the holes prior the new fence project roll out</t>
  </si>
  <si>
    <t>Aratite</t>
  </si>
  <si>
    <t>Entry safety signs' visibility and readability are low</t>
  </si>
  <si>
    <t>Design a new sign for safety communication</t>
  </si>
  <si>
    <t>Tanker Truck 4378 exhaust usually emit into the driver cabin</t>
  </si>
  <si>
    <t>Raise the Exhaust above te driver cabin</t>
  </si>
  <si>
    <t>OM</t>
  </si>
  <si>
    <t>Baremau</t>
  </si>
  <si>
    <t>JetA1 Deadman Switch at TTFS is not working</t>
  </si>
  <si>
    <t>Repair and Maintenance is required</t>
  </si>
  <si>
    <t>JetA1 Drum Filling needs a downpipe to avoid splash filling</t>
  </si>
  <si>
    <t>fabricating and installation of nozzle extension following soak test procedures as per SAOM</t>
  </si>
  <si>
    <t>Staff forgetting procedures at their operation station.</t>
  </si>
  <si>
    <t>Procedures to be displayed at sites</t>
  </si>
  <si>
    <t>Staff carry prohibited items inside the restricted area.</t>
  </si>
  <si>
    <t>Report Verbal and Writing</t>
  </si>
  <si>
    <t>Inform staff of the safety rules inside the terminal
To spot check staff on their compliance inside the terminal</t>
  </si>
  <si>
    <t>OS/HSSEF</t>
  </si>
  <si>
    <t>Static cable is too shorts especially tanker trucks. Cannot fully bond connection to gas station tanks as the cable is not long enough to reach those tanks</t>
  </si>
  <si>
    <t>Extending the Static cables in order to reach the end tank bonding</t>
  </si>
  <si>
    <t>Bwabwaku</t>
  </si>
  <si>
    <t>Staff vehicle have been parked in front of office for over a month.</t>
  </si>
  <si>
    <t>Report to OM and OS</t>
  </si>
  <si>
    <t>Inform him to get his car out of sight as it creates blockade to access</t>
  </si>
  <si>
    <t>Mudpool infront of DFS usually flooded and sometimes the flows over to the garage when a tanker truck runs through the pool</t>
  </si>
  <si>
    <t>Remove excess water from the garage</t>
  </si>
  <si>
    <t>This is required to be leveled to addressed this issues</t>
  </si>
  <si>
    <t>Ioane (OIA)</t>
  </si>
  <si>
    <t xml:space="preserve">Grown up trees next to fuel farm in Arorae,
Fire Risk: Trees can serve as fuel in the event of a fire, increasing the risk of rapid spread.
Structural Damage: Falling branches or entire trees (especially during storms) can damage fuel tanks or infrastructure.
Root Intrusion: Tree roots can damage underground fuel lines or containment systems.
Access Obstruction: Overgrown trees can block emergency access routes or visibility. </t>
  </si>
  <si>
    <t>Reported to HRM and reviewed by HSSEF</t>
  </si>
  <si>
    <t>Tree Removal or Trimming: Remove or significantly trim trees that pose a direct threat.
Implement vegetation management plan</t>
  </si>
  <si>
    <t>Ioane &amp; Contractors</t>
  </si>
  <si>
    <t>Kakianako</t>
  </si>
  <si>
    <t>Staff walking without minimum PPE requirement</t>
  </si>
  <si>
    <t>Warn the staff and report</t>
  </si>
  <si>
    <t>consulation with those concern staff</t>
  </si>
  <si>
    <t>Kimwaere</t>
  </si>
  <si>
    <t>There are lot of waste oil drums need purification</t>
  </si>
  <si>
    <t>To follow up with Maeke on the motor coiling</t>
  </si>
  <si>
    <t xml:space="preserve">An insane person enters KOIL Depot </t>
  </si>
  <si>
    <t>Need to repair fence side at KPA to Lagoon side</t>
  </si>
  <si>
    <t>fence project construction is required</t>
  </si>
  <si>
    <t>Contractors</t>
  </si>
  <si>
    <t>KOIL use diesel was not covered after use which exposed to rain and other possible contaminants</t>
  </si>
  <si>
    <t>Cover up and report as Near Miss</t>
  </si>
  <si>
    <t>Ensuring that a KOIL use is fully covered after use</t>
  </si>
  <si>
    <t>Drivers/Stock</t>
  </si>
  <si>
    <t>Powergate truck is used until it ran out of fuel and parked beside the lab</t>
  </si>
  <si>
    <t>Tow to KOIL use and refuel the truck</t>
  </si>
  <si>
    <t>Driver to check on the fuel of the vehicles</t>
  </si>
  <si>
    <t>Drivers</t>
  </si>
  <si>
    <t>Maareke</t>
  </si>
  <si>
    <t>Need for Permit to Work Training</t>
  </si>
  <si>
    <t>to propose to the board</t>
  </si>
  <si>
    <t>Noora</t>
  </si>
  <si>
    <t>Spot Runeta entered the gate to the restricted area wearing skirt and no safety boot</t>
  </si>
  <si>
    <t>To be informed to wear full PPE</t>
  </si>
  <si>
    <t>Ruevita</t>
  </si>
  <si>
    <t>LPG Filling Station needs lights for night and morning shifts</t>
  </si>
  <si>
    <t>Procurement and installation of light to designated area</t>
  </si>
  <si>
    <t>LPG Sup.</t>
  </si>
  <si>
    <t>Siale</t>
  </si>
  <si>
    <t>Staff parking facing the office</t>
  </si>
  <si>
    <t>Report and Informed Tebikeiti</t>
  </si>
  <si>
    <t>To talk to Tebikeiti on this issue</t>
  </si>
  <si>
    <t>Tatang</t>
  </si>
  <si>
    <t>Electrical wiring at the Cashier office is sharing load with a single point and operating two appliances by using a powerboard</t>
  </si>
  <si>
    <t>Reported as Near Miss</t>
  </si>
  <si>
    <t>To separate powerport for different appliance and to avoid using powerboard</t>
  </si>
  <si>
    <t>Tebikeiti</t>
  </si>
  <si>
    <t>0.3a</t>
  </si>
  <si>
    <t>While driving vehicle 5661, I heard a loud thumping and pumping noise from one of the tyres.
It made me worried because it sounded like the tyre might come off while driving.</t>
  </si>
  <si>
    <t>Slowly drive the car and report to HSSEF</t>
  </si>
  <si>
    <t>Marinnoora will take it for inspection from company mechanics
This require service</t>
  </si>
  <si>
    <t>Teboaa (OIA)</t>
  </si>
  <si>
    <t>Fence defects alongside the road in Abaiang Depot and will be vulnerable to the public if this is not addressed.</t>
  </si>
  <si>
    <t>Recorded as nearmiss and to be carried under specific safety instructions as per the work permit</t>
  </si>
  <si>
    <t>Fixing the fence as soon as possible</t>
  </si>
  <si>
    <t>Teboa &amp; Contractors</t>
  </si>
  <si>
    <t>This is taken as a major project</t>
  </si>
  <si>
    <t>Teibouri</t>
  </si>
  <si>
    <t>Staff wearing worn out Safety Shoes</t>
  </si>
  <si>
    <t>Replacement of safety shoes to those who needed</t>
  </si>
  <si>
    <t>Using of phone whilst toolbox meeting</t>
  </si>
  <si>
    <t>Behavior</t>
  </si>
  <si>
    <t>Staff to fully commit themselves to the meeting context and to able to obtain lessons.</t>
  </si>
  <si>
    <t>Some staff do not fully wear PPE and not comply to Safety Rule</t>
  </si>
  <si>
    <t>Enforce &amp; and disciplinary action required</t>
  </si>
  <si>
    <t>OM/OS</t>
  </si>
  <si>
    <t>Tekaaibuti</t>
  </si>
  <si>
    <t>Overhead Tank for Fire Pump is needed</t>
  </si>
  <si>
    <t>Installation of the overhead tank onsite to address the issue</t>
  </si>
  <si>
    <t>Tetabo</t>
  </si>
  <si>
    <t>Operations Kitchen is needed to avoid eating at Ops Office</t>
  </si>
  <si>
    <t>MOC is required</t>
  </si>
  <si>
    <t>Tiare</t>
  </si>
  <si>
    <t>ULP Pump impeller is leaking and housing needs installation</t>
  </si>
  <si>
    <t>Fitters to take immediate action to avoid ulp leakage and exposure</t>
  </si>
  <si>
    <t>Lights needs to be installed at Operations Locker Room</t>
  </si>
  <si>
    <t>NTF Security Lights were not working</t>
  </si>
  <si>
    <t>to fix asap</t>
  </si>
  <si>
    <t>Tibemita</t>
  </si>
  <si>
    <t>4084 Hose Tray needs to be fixed</t>
  </si>
  <si>
    <t>Installation of hose trays is recommeded</t>
  </si>
  <si>
    <t>Tiiroa</t>
  </si>
  <si>
    <t>Old TTFS post are heavily corroded</t>
  </si>
  <si>
    <t>Tank 2 Foundation is heavily invaded by plantations</t>
  </si>
  <si>
    <t>Removing vegetation around tank 2 base</t>
  </si>
  <si>
    <t>Maintenance on valves needed</t>
  </si>
  <si>
    <t>derust are repaint corroded valvles</t>
  </si>
  <si>
    <t>Corrosion is now appears on NTTFS</t>
  </si>
  <si>
    <t>Switch at new DFS is needed for safety and efficiency</t>
  </si>
  <si>
    <t>Installation of switch as per MOC</t>
  </si>
  <si>
    <t>Depot Gates were not locked</t>
  </si>
  <si>
    <t>Procure padlocks for the tanks.</t>
  </si>
  <si>
    <t>Storage Tanks water drains are not locked</t>
  </si>
  <si>
    <t>Blank all waterdrain lines</t>
  </si>
  <si>
    <t>Tukuaho</t>
  </si>
  <si>
    <t>Repair mechanical seal on ADO Pump</t>
  </si>
  <si>
    <t>A hole next TTFS is becoming a risk to staff and vehicles</t>
  </si>
  <si>
    <t>To cover up the hole or barricade the area for hazard visibility</t>
  </si>
  <si>
    <t>William</t>
  </si>
  <si>
    <t>Petrol car entered the KOIL compound without knowing the rules</t>
  </si>
  <si>
    <t>Immediately inform the driver and warn him about the safety rules</t>
  </si>
  <si>
    <t>A proper safety display to be placed at the gate for Customers information</t>
  </si>
  <si>
    <t>Lab light not fully operational and impair visual during testing</t>
  </si>
  <si>
    <t>Report in Tool Box</t>
  </si>
  <si>
    <t>Direct refilling of tanker truck bypassing a deadman valve which can cause major spills when one is unconciously idle.</t>
  </si>
  <si>
    <t>Connecting through the deadman valve is recommended</t>
  </si>
  <si>
    <t>Damage slab at the main gate entry, where the mesh wire popped up, and very risky to the public and also for vehicles' tires can eventually be punctured by</t>
  </si>
  <si>
    <t>Repair on the slab on this finding to avoid such risk</t>
  </si>
  <si>
    <t>Mwatewe</t>
  </si>
  <si>
    <t>Tank 4 remain leaking as can be spotted on the stairs everytime</t>
  </si>
  <si>
    <t>Near Miss Incident</t>
  </si>
  <si>
    <t>Report to Supervisor and witnessed by Fitter Tekaai and contain the dripplet with container</t>
  </si>
  <si>
    <t>Tank maintenance required on this tank</t>
  </si>
  <si>
    <t>Nawaia</t>
  </si>
  <si>
    <t>Customer trucks parked infront of the main gate</t>
  </si>
  <si>
    <t>Near Miss</t>
  </si>
  <si>
    <t>Assisted them by serving them properly on their cargo order</t>
  </si>
  <si>
    <t>No Vehicle shall be parked infront of the main gate</t>
  </si>
  <si>
    <t>Gate Checker</t>
  </si>
  <si>
    <t>Customer walking inside the compound out from his truck without wearing PPE</t>
  </si>
  <si>
    <t>talked to him that it is forbidden to walk in the depot without PPE</t>
  </si>
  <si>
    <t>Put up signs for customers information</t>
  </si>
  <si>
    <t>Both TTFS Betio and Bonriki are heavily corroded</t>
  </si>
  <si>
    <t>Planning the demolision</t>
  </si>
  <si>
    <t>Demolish both TTFS</t>
  </si>
  <si>
    <t>Customer using phone inside the terminal</t>
  </si>
  <si>
    <t>Sent him out of the premises and discuss with him depot rules</t>
  </si>
  <si>
    <t>Prior reminder to customers before entry</t>
  </si>
  <si>
    <t>Observing under reading in the meter compared to the vehicle dips where huge difference observed</t>
  </si>
  <si>
    <t>Need meter calibration</t>
  </si>
  <si>
    <t>A person enters Depot from PE site into the new tank farm</t>
  </si>
  <si>
    <t>Patch on all fence holes</t>
  </si>
  <si>
    <t>Hanan staff unloading containers that was inside KOIL yard wearing non-compliant gears</t>
  </si>
  <si>
    <t>Enforce PPE rules to Customers</t>
  </si>
  <si>
    <t>Kids were caught skitching at the back of the tanker truck's pumper while moving</t>
  </si>
  <si>
    <t>Stopped and check on the kids but they ran away</t>
  </si>
  <si>
    <t>To be mindful of kids while driving vehicles and to take necessary precautions</t>
  </si>
  <si>
    <t>Vehicle no. 4378 side mirror is unstable and is moving while driving</t>
  </si>
  <si>
    <t>Report</t>
  </si>
  <si>
    <t>Require maintenance or procurement of new side mirror</t>
  </si>
  <si>
    <t>Leaking on the truck hydraulic hose</t>
  </si>
  <si>
    <t>Fitters to address this</t>
  </si>
  <si>
    <t>Unsafe operation at the OTTFS as the line does not connect with Deadman</t>
  </si>
  <si>
    <t>Carrying of phone inside the terminal</t>
  </si>
  <si>
    <t>Enforce carrying of mobile phone is prohibited</t>
  </si>
  <si>
    <t>Unloading container and left their pallet wastes and other remainings untidy inside the KOIL depot</t>
  </si>
  <si>
    <t>House keeping at all times and to inform customers on this issues.</t>
  </si>
  <si>
    <t>Gate/Staff onsite</t>
  </si>
  <si>
    <t>lube container wastes such as plastics and others are left unattended after every unloading.</t>
  </si>
  <si>
    <t>House keeping is lacking and needed to be enforced</t>
  </si>
  <si>
    <t>Unloading team</t>
  </si>
  <si>
    <t>Lab sample drum outside the lab still have fuel content.</t>
  </si>
  <si>
    <t>Relocate drums to tidy up the lab front and report</t>
  </si>
  <si>
    <t>Proper Lab monitoring is required</t>
  </si>
  <si>
    <t>piled up trash at the fire extinguisher area inside the lab. Repetitive issues</t>
  </si>
  <si>
    <t>Clean it up and report as near miss</t>
  </si>
  <si>
    <t>This has to be monitored as part of office</t>
  </si>
  <si>
    <t>reinforce frame of the forklif cabin chair is stuffed out meaning that the forklift condition is very unsafe</t>
  </si>
  <si>
    <t>Repair should be applied to this forklift for the safer operation</t>
  </si>
  <si>
    <t>Tiim</t>
  </si>
  <si>
    <t>Power Gate Truck</t>
  </si>
  <si>
    <t xml:space="preserve">The cabin step ladder is broken making some difficulties for safe access </t>
  </si>
  <si>
    <t>Repair the acces the ladder</t>
  </si>
  <si>
    <t>17/10/2025</t>
  </si>
  <si>
    <t>Bong</t>
  </si>
  <si>
    <t>Lube shed poor housekeeping</t>
  </si>
  <si>
    <t>The drum cap seals are lying in a mess</t>
  </si>
  <si>
    <t xml:space="preserve">Near Miss </t>
  </si>
  <si>
    <t>Housekeeping is poor and need to be enforced</t>
  </si>
  <si>
    <t>DFS Team</t>
  </si>
  <si>
    <t>Drums of lubricants are in poor condition</t>
  </si>
  <si>
    <t>Lubricant Team</t>
  </si>
  <si>
    <t>Kararaua T</t>
  </si>
  <si>
    <t>Compliance</t>
  </si>
  <si>
    <t>A driver using a mobile phone while inside the depot</t>
  </si>
  <si>
    <t>Gate officers to remind drivers for depot compliance</t>
  </si>
  <si>
    <t>Operations Toilet</t>
  </si>
  <si>
    <t>Poor house keeping</t>
  </si>
  <si>
    <t>Reminder to all staff to maintain the cleaniliness of the toilet</t>
  </si>
  <si>
    <t>Operations Staff</t>
  </si>
  <si>
    <t>Burenbeia</t>
  </si>
  <si>
    <t>Old Tank Farm</t>
  </si>
  <si>
    <t>Tool left at tank 3 after work</t>
  </si>
  <si>
    <t>Make sure to return the tools to the store lady</t>
  </si>
  <si>
    <t>Tank cleaning team'</t>
  </si>
  <si>
    <t>20/10/2025</t>
  </si>
  <si>
    <t>Tioti</t>
  </si>
  <si>
    <t>Maintenance and safety compliance</t>
  </si>
  <si>
    <t>Sand get in the eye while working under the truck without a safety glass</t>
  </si>
  <si>
    <t>Ensure for good house keeping and wear PPE</t>
  </si>
  <si>
    <t>Temason</t>
  </si>
  <si>
    <t>Terminal Intergrity</t>
  </si>
  <si>
    <t>The roof for tank 4 is badly deteriorate and become not safe for work</t>
  </si>
  <si>
    <t>Major maintenance is reuired</t>
  </si>
  <si>
    <t>Abera</t>
  </si>
  <si>
    <t>Equipment</t>
  </si>
  <si>
    <t>Oil spill at the new DFS caused by the hydraulic spill of the forklift</t>
  </si>
  <si>
    <t>Take the forklift for maintenance and engage the new forklift in the opeations</t>
  </si>
  <si>
    <t>Fitters and Project Team</t>
  </si>
  <si>
    <t>Depot Yard</t>
  </si>
  <si>
    <t>The drums of fuel scattered around the lab, the manifold and around the depot</t>
  </si>
  <si>
    <t>Collect the drums and stored in one place for further treatment</t>
  </si>
  <si>
    <t>These fuel shall be tested, and to be pumped back to the storage tanks for blending</t>
  </si>
  <si>
    <t>OS and Tank Project</t>
  </si>
  <si>
    <t>No static clips for the ULP and ADO meters at the new TTFS</t>
  </si>
  <si>
    <t>Urgent action is required to fix the static cables and clips</t>
  </si>
  <si>
    <t>Kirimauti</t>
  </si>
  <si>
    <t>Depot road</t>
  </si>
  <si>
    <t>Tanktainers and sidelifter truck and containers were congested on the edge of the depot road creating narrow space for driving</t>
  </si>
  <si>
    <t>Remove the container and tanktainer to safer space</t>
  </si>
  <si>
    <t>Sidelifter Operators</t>
  </si>
  <si>
    <t>Old TTFS</t>
  </si>
  <si>
    <t>LPG</t>
  </si>
  <si>
    <t>Tanktainer valves were left open after work</t>
  </si>
  <si>
    <t xml:space="preserve">Procedure compliance shall be observed during work and before leaving the workplace </t>
  </si>
  <si>
    <t>LPG and Operations Staff</t>
  </si>
  <si>
    <t>Kimaere</t>
  </si>
  <si>
    <t>One bag of cement obstruct the access</t>
  </si>
  <si>
    <t>Take it to the container for safe storage</t>
  </si>
  <si>
    <t>House keeping shall be maintained inside the depot</t>
  </si>
  <si>
    <t>Opeations staff</t>
  </si>
  <si>
    <t>Meaua</t>
  </si>
  <si>
    <t>Operations Intergrity</t>
  </si>
  <si>
    <t>Vehicle checklist not update</t>
  </si>
  <si>
    <t>Reminder to drivers to update their checklist after completing the daily inspection</t>
  </si>
  <si>
    <t>Tanker Truck 2583</t>
  </si>
  <si>
    <t xml:space="preserve">The hole inside the driver cabin near the trothle padal </t>
  </si>
  <si>
    <t xml:space="preserve">The hole shall be fixed </t>
  </si>
  <si>
    <t>Operations Office</t>
  </si>
  <si>
    <t>Internet and network wires run in a mess insse the office</t>
  </si>
  <si>
    <t>This shall be fixed to maintain good housekeeping and good cummnications</t>
  </si>
  <si>
    <t>IT Team</t>
  </si>
  <si>
    <t>Tenanoa</t>
  </si>
  <si>
    <t>Laboratory</t>
  </si>
  <si>
    <t>Construction debris from the new DFS office laying around the lab</t>
  </si>
  <si>
    <t>Reminder for good house keeping</t>
  </si>
  <si>
    <t>Project Team</t>
  </si>
  <si>
    <t>Gate Checker Office</t>
  </si>
  <si>
    <t>The office floor is badly deteriorated</t>
  </si>
  <si>
    <t>Maintenance is required</t>
  </si>
  <si>
    <t>Ioane</t>
  </si>
  <si>
    <t>Return to the gate and leave a phone</t>
  </si>
  <si>
    <t>All Staff</t>
  </si>
  <si>
    <t>Attendance &amp; Control</t>
  </si>
  <si>
    <t xml:space="preserve">Poor monitoring </t>
  </si>
  <si>
    <t>Control need to be improved</t>
  </si>
  <si>
    <t>Tangau</t>
  </si>
  <si>
    <t>PE Fuel Farm</t>
  </si>
  <si>
    <t>Outside intrusion as people use the fuel farm as place of drinking</t>
  </si>
  <si>
    <t>I asked them to leave the place for safety concern</t>
  </si>
  <si>
    <t>Security control is require on PE fuel farm as it will pose a risk to our depot</t>
  </si>
  <si>
    <t>Kauriri</t>
  </si>
  <si>
    <t>DPK Truck</t>
  </si>
  <si>
    <t>No access step to the cabin</t>
  </si>
  <si>
    <t>modify new access step</t>
  </si>
  <si>
    <t>Fitter</t>
  </si>
  <si>
    <t>No side mirror</t>
  </si>
  <si>
    <t>New side mirror to be installed</t>
  </si>
  <si>
    <t>Teinamotuna</t>
  </si>
  <si>
    <t>Elecrtical live wire are in a mess as the support was bend</t>
  </si>
  <si>
    <t>The support will be fixed to avoid loose connection</t>
  </si>
  <si>
    <t>Electrician</t>
  </si>
  <si>
    <t>Stack of empty drums are in are mess</t>
  </si>
  <si>
    <t>To stack the empty drums properly</t>
  </si>
  <si>
    <t>21/10/2025</t>
  </si>
  <si>
    <t>Taire</t>
  </si>
  <si>
    <t>New DFS</t>
  </si>
  <si>
    <t>Driving a forklift and almost corride wi the operator filling the ULP</t>
  </si>
  <si>
    <t>Aplly smith driing keys and no rush</t>
  </si>
  <si>
    <t>Drivers/Operators</t>
  </si>
  <si>
    <t>Tiraong</t>
  </si>
  <si>
    <t>White double cap was so dirty meaning no house keeping done</t>
  </si>
  <si>
    <t>Cleaning the double cap</t>
  </si>
  <si>
    <t>Operators</t>
  </si>
  <si>
    <t>Tonganibeia</t>
  </si>
  <si>
    <t>DFS</t>
  </si>
  <si>
    <t>Drainnage pits have no cover and exposed to the heat (sun)</t>
  </si>
  <si>
    <t>Cover the drainage with the piece of roofing sheet</t>
  </si>
  <si>
    <t>All the drainnage pit have a proper cover</t>
  </si>
  <si>
    <t>Tank project Team</t>
  </si>
  <si>
    <t>Tukuhao</t>
  </si>
  <si>
    <t>shelther tent have no roofing allow the sun and the rain to penetrate</t>
  </si>
  <si>
    <t>The roofing shall be modified to be more strong</t>
  </si>
  <si>
    <t>Wliiams</t>
  </si>
  <si>
    <t>ADO and Jet A1s share one electrical breaker</t>
  </si>
  <si>
    <t>The electrical distribution box shall be fixed to address this issue</t>
  </si>
  <si>
    <t>Tentaku</t>
  </si>
  <si>
    <t>The oil is leaking from the ULP when running</t>
  </si>
  <si>
    <t>Report as NearMiss and mop the spills</t>
  </si>
  <si>
    <t>23/10/2025</t>
  </si>
  <si>
    <t>A customer bring a gas lighter inside the depot</t>
  </si>
  <si>
    <t>Consult him and take the gas light at the gate</t>
  </si>
  <si>
    <t>Gate Security</t>
  </si>
  <si>
    <t>The checklist for the vehicles shall include the fire extinguisher inspection</t>
  </si>
  <si>
    <t>Report as nearmiss</t>
  </si>
  <si>
    <t>If it was included then easy to know what to check</t>
  </si>
  <si>
    <t>Static clip is out of stock</t>
  </si>
  <si>
    <t>Procurement is requsted</t>
  </si>
  <si>
    <t>The headlight for tank truck 4084 its cover is broken and water can go through</t>
  </si>
  <si>
    <t xml:space="preserve">Report as nearmiss  </t>
  </si>
  <si>
    <t>I cover the broken cover with the plastic and report to Fitters</t>
  </si>
  <si>
    <t>Teburea</t>
  </si>
  <si>
    <t>Waste oil slab</t>
  </si>
  <si>
    <t>The condition of the waste oil drums are badly deteriorated and spill is obvious</t>
  </si>
  <si>
    <t>Changing the drums to good ones is reccomended</t>
  </si>
  <si>
    <t>Missing fire extinguishers</t>
  </si>
  <si>
    <t>replacement of the defected ones</t>
  </si>
  <si>
    <t>Teikake</t>
  </si>
  <si>
    <t>Request for the toilet for DFS team as they are farm from Operation toilet</t>
  </si>
  <si>
    <t>to be considered</t>
  </si>
  <si>
    <t>Ladder step is broken</t>
  </si>
  <si>
    <t>Tiaon and Team</t>
  </si>
  <si>
    <t>KOIL Bonriki</t>
  </si>
  <si>
    <t>Missing static clips at the TTFS</t>
  </si>
  <si>
    <t>Procurement of spares is requested</t>
  </si>
  <si>
    <t>PUB Electrical junction box door broken</t>
  </si>
  <si>
    <t>To fixed the the door</t>
  </si>
  <si>
    <t>Ag ADS</t>
  </si>
  <si>
    <t>No flood light causing the yard so dark for working early in the morning</t>
  </si>
  <si>
    <t xml:space="preserve">To fix the flood lights and use the instrically torch </t>
  </si>
  <si>
    <t>19/11/2025</t>
  </si>
  <si>
    <t>Leakage spot on Tank 7</t>
  </si>
  <si>
    <t>Report as Near miss</t>
  </si>
  <si>
    <t>to scrap off the rust and check the  leakage spot if can be fixed with cold weld</t>
  </si>
  <si>
    <t>OS/ATL</t>
  </si>
  <si>
    <t>30/11/2025</t>
  </si>
  <si>
    <t>Fire extinguisher inspection tags are not up to date</t>
  </si>
  <si>
    <t>Do the inspection and punch the inspection tags</t>
  </si>
  <si>
    <t>Monthly inspection shall be done regularly</t>
  </si>
  <si>
    <t>The leakage on the quickflush pump</t>
  </si>
  <si>
    <t>Temporary contain the spillage by patching the leak spot wi absorbent pad</t>
  </si>
  <si>
    <t>Procurement of the new pump is required</t>
  </si>
  <si>
    <t>28/02/2026</t>
  </si>
  <si>
    <t>Valves are becoming hard to operate</t>
  </si>
  <si>
    <t>To get the get from Betio and lubricate the valves</t>
  </si>
  <si>
    <t>Refuellers</t>
  </si>
  <si>
    <t>Grass growing tall inside the compound</t>
  </si>
  <si>
    <t>Have the grass cutter from Betio</t>
  </si>
  <si>
    <t>20/11/2025</t>
  </si>
  <si>
    <t>Sample cupboard access was blocked with pipeworks</t>
  </si>
  <si>
    <t>Relocate the cupboard to a clear access</t>
  </si>
  <si>
    <t>Bonriki Team</t>
  </si>
  <si>
    <t>Kitchen was dirty</t>
  </si>
  <si>
    <t>Clean up maintain cleaniliness</t>
  </si>
  <si>
    <t>Ref No</t>
  </si>
  <si>
    <t>Reporter</t>
  </si>
  <si>
    <t>Type</t>
  </si>
  <si>
    <t>Description</t>
  </si>
  <si>
    <t>Root Cause</t>
  </si>
  <si>
    <t>Impact</t>
  </si>
  <si>
    <t>Recommendations</t>
  </si>
  <si>
    <t>C001</t>
  </si>
  <si>
    <t>Tatang Tataua</t>
  </si>
  <si>
    <t>Vehicle Collision</t>
  </si>
  <si>
    <t>KFL driving road to the dock site</t>
  </si>
  <si>
    <t>Pneumatic system failure, poor road conditions causing collision.</t>
  </si>
  <si>
    <t>Pneumatic system failure, poor road conditions</t>
  </si>
  <si>
    <t>Scratches, bumper detached on saloon car</t>
  </si>
  <si>
    <t>Maintenance review, safety protocol updates, vehicle reassessment</t>
  </si>
  <si>
    <t>D001</t>
  </si>
  <si>
    <t>Kararaua Temarebu</t>
  </si>
  <si>
    <t>Death</t>
  </si>
  <si>
    <t>KOIL, in front of storeroom next to canteen, Betio</t>
  </si>
  <si>
    <t>Victim fell into a bore well while intoxicated after an event.</t>
  </si>
  <si>
    <t>Intoxication, unsafe area</t>
  </si>
  <si>
    <t>Police investigation ongoing</t>
  </si>
  <si>
    <t>Safety measures around bore wells</t>
  </si>
  <si>
    <t>OF001v1</t>
  </si>
  <si>
    <t>Fuel Overflow</t>
  </si>
  <si>
    <t>Tanker Loading Area</t>
  </si>
  <si>
    <t>ULP mistakenly loaded into Diesel-filled compartment, causing overflow.</t>
  </si>
  <si>
    <t>Inexperience, lack of supervision, protocol not followed</t>
  </si>
  <si>
    <t>40L to 60L spill</t>
  </si>
  <si>
    <t>Contaminated mix transferred for recovery</t>
  </si>
  <si>
    <t>Supervision and training improvements</t>
  </si>
  <si>
    <t>PL001</t>
  </si>
  <si>
    <t>Kakianako / TDO</t>
  </si>
  <si>
    <t>Diesel Pipeline Leak</t>
  </si>
  <si>
    <t>Underground line near KFL premises</t>
  </si>
  <si>
    <t>Diesel leak from pipeline into seawall drainage</t>
  </si>
  <si>
    <t>Old pipeline, lack of maintenance</t>
  </si>
  <si>
    <t>Environmental damage</t>
  </si>
  <si>
    <t>Stopped ops, flushed line, marine spill response</t>
  </si>
  <si>
    <t>Replace old pipeline, train staff, upgrade infra</t>
  </si>
  <si>
    <t>SC001</t>
  </si>
  <si>
    <t>Electrical Short</t>
  </si>
  <si>
    <t>LPG rest area next to refilling station</t>
  </si>
  <si>
    <t>Short circuit at power point/plug for AC</t>
  </si>
  <si>
    <t>Poor wiring, unsafe plug</t>
  </si>
  <si>
    <t>Explosion, Fatality risk</t>
  </si>
  <si>
    <t>Power isolated, reported to technicians</t>
  </si>
  <si>
    <t>Relocate power point or remove electricity entirely</t>
  </si>
  <si>
    <t>SPC1-25</t>
  </si>
  <si>
    <t>Safety Performance Counseling</t>
  </si>
  <si>
    <t>Near LPG Station / Gas Stations</t>
  </si>
  <si>
    <t>- Entered LPG area without PPE- Used phone while unloading at gas station</t>
  </si>
  <si>
    <t>Non-compliance due to wet uniform &amp; awareness gap</t>
  </si>
  <si>
    <t>Counseling conducted; Nawaia committed to compliance</t>
  </si>
  <si>
    <t>Follow PPE policy strictly; reinforce phone-use rules</t>
  </si>
  <si>
    <t>TL001</t>
  </si>
  <si>
    <t>Mareti Akai (Security)</t>
  </si>
  <si>
    <t>Tank Leakage</t>
  </si>
  <si>
    <t>Tank 2 (Facing Admin Office)</t>
  </si>
  <si>
    <t>Leak at drain valve and tank base.</t>
  </si>
  <si>
    <t>Tank deterioration; water layer depleted.</t>
  </si>
  <si>
    <t>Fuel spill; stock loss risk.</t>
  </si>
  <si>
    <t>Leak monitored, area secured, maintenance alerted.</t>
  </si>
  <si>
    <t>Refurbish tank; refill water displacement; regular checks.</t>
  </si>
  <si>
    <t>TL002</t>
  </si>
  <si>
    <t>Security</t>
  </si>
  <si>
    <t>Tank Leakage (Repeat)</t>
  </si>
  <si>
    <t>The leak continues to be observed</t>
  </si>
  <si>
    <t>Unsafe condition, unsafe facility</t>
  </si>
  <si>
    <t>Continuous contamination and product loss</t>
  </si>
  <si>
    <t>Tank cleaning and repairs</t>
  </si>
  <si>
    <t>Refurbish tank base; replace valve; retighten manhole.</t>
  </si>
  <si>
    <t>TL003</t>
  </si>
  <si>
    <t>Leak reoccurred despite earlier maintenance.</t>
  </si>
  <si>
    <t>Failed repair; dry water layer; loose manhole.</t>
  </si>
  <si>
    <t>Underground contamination; continued stock loss.</t>
  </si>
  <si>
    <t>Area secured; damage assessed; maintenance notified.</t>
  </si>
  <si>
    <t>SSC recommends to demolish or to stop using the tank.</t>
  </si>
  <si>
    <t>FF001</t>
  </si>
  <si>
    <t>HRM</t>
  </si>
  <si>
    <t>Fall from height</t>
  </si>
  <si>
    <t>Tank 1</t>
  </si>
  <si>
    <t>Mr. Buranibeia Kaumai fell from scaffolding (~4–5m high) while cutting tank shell sheets during demolition work. Wind pushed the sheet outward, causing panic and loss of balance. He was not wearing a harness.</t>
  </si>
  <si>
    <t>Failure to wear safety harness; reaction to wind movement of sheet; loss of balance; fall from scaffold.</t>
  </si>
  <si>
    <t>Injury requiring hospital treatment; transported to Betio and then Nawerewere Hospital for x-ray.</t>
  </si>
  <si>
    <t>Work stopped immediately; first aid provided; ambulance arrived within 10 minutes; victim transported and treated; witnesses confirmed he was conscious and moving normally.</t>
  </si>
  <si>
    <t>Enforce harness use at all heights; promote safety culture via toolbox talks; ensure compliance with Work Permit conditions through supervisor monitoring.</t>
  </si>
  <si>
    <t>KOIL LOD3 Electical Inspections</t>
  </si>
  <si>
    <t>Date Conducted: 10-15 March 2025
Inspector: Maeke Tabuaka</t>
  </si>
  <si>
    <t>Site</t>
  </si>
  <si>
    <t>Inspection</t>
  </si>
  <si>
    <t>Office Switch Boards Loads</t>
  </si>
  <si>
    <t>Wiring System</t>
  </si>
  <si>
    <t>BET/BON</t>
  </si>
  <si>
    <t>Heath &amp; Safety</t>
  </si>
  <si>
    <t>Grounding/Earthing</t>
  </si>
  <si>
    <t>#</t>
  </si>
  <si>
    <t>Audit Type</t>
  </si>
  <si>
    <t>Auditor(s)</t>
  </si>
  <si>
    <t>Location/Area</t>
  </si>
  <si>
    <t>Department</t>
  </si>
  <si>
    <t>LOD3. E.Insp</t>
  </si>
  <si>
    <t>Maeke</t>
  </si>
  <si>
    <t>Workshop</t>
  </si>
  <si>
    <t>Completed</t>
  </si>
  <si>
    <t>All PPE compliant</t>
  </si>
  <si>
    <t>Pre-Audit</t>
  </si>
  <si>
    <t>BON</t>
  </si>
  <si>
    <t>Aviation</t>
  </si>
  <si>
    <t>Javir</t>
  </si>
  <si>
    <t>HSSE&amp;OP</t>
  </si>
  <si>
    <t>Training &amp; Calibrations</t>
  </si>
  <si>
    <t>Operations</t>
  </si>
  <si>
    <t>Need more awareness and safety precaution</t>
  </si>
  <si>
    <t>SSWB</t>
  </si>
  <si>
    <t>SSC</t>
  </si>
  <si>
    <t>Follow-up needed</t>
  </si>
  <si>
    <t>Operation Office Area</t>
  </si>
  <si>
    <t>Operation Fence&amp;Perimeter</t>
  </si>
  <si>
    <t>LPG &amp; Cashier Area</t>
  </si>
  <si>
    <t>LPG &amp; Cashier Area Perimeter</t>
  </si>
  <si>
    <t>DFS,TTFS area</t>
  </si>
  <si>
    <t>WasteOil&amp;Separator Area</t>
  </si>
  <si>
    <t>Lube Shed Area &amp; Lab area</t>
  </si>
  <si>
    <t xml:space="preserve">O.Pump </t>
  </si>
  <si>
    <t>O.TF</t>
  </si>
  <si>
    <t>O.Manifold</t>
  </si>
  <si>
    <t>F.Pump &amp; Foam area</t>
  </si>
  <si>
    <t>Nmanifold &amp; Pump Shed</t>
  </si>
  <si>
    <t>TTFS and Drums Area</t>
  </si>
  <si>
    <t>NTF Fences</t>
  </si>
  <si>
    <t>Warehouse Area</t>
  </si>
  <si>
    <t>Admin Office</t>
  </si>
  <si>
    <t>Operation gate next to canteen</t>
  </si>
  <si>
    <t>Account Office</t>
  </si>
  <si>
    <t>Bonriki</t>
  </si>
  <si>
    <t>Office</t>
  </si>
  <si>
    <t>Tank Farm</t>
  </si>
  <si>
    <t>Pump Slab</t>
  </si>
  <si>
    <t>TTFS</t>
  </si>
  <si>
    <t>Fence and Perimeter</t>
  </si>
  <si>
    <t>Others</t>
  </si>
  <si>
    <t>Tools &amp; Equipment</t>
  </si>
  <si>
    <t>Facilities</t>
  </si>
  <si>
    <t>Delivery Vehicles</t>
  </si>
  <si>
    <t>Vehicles &amp; Transportation</t>
  </si>
  <si>
    <t>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</si>
</sst>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800]dddd\,\ mmmm\ dd\,\ yyyy"/>
    <numFmt numFmtId="165" formatCode="[$]hh:mm;@" x16r2:formatCode16="[$-en-KI,1]hh:mm;@"/>
    <numFmt numFmtId="166" formatCode="dd/mm/yyyy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Arial"/>
      <family val="2"/>
    </font>
    <font>
      <sz val="13"/>
      <color theme="4" tint="-0.249977111117893"/>
      <name val="Arial"/>
      <family val="2"/>
    </font>
    <font>
      <b/>
      <sz val="12"/>
      <name val="Arial"/>
      <family val="2"/>
    </font>
    <font>
      <b/>
      <sz val="13"/>
      <color theme="7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4" tint="-0.249977111117893"/>
      <name val="Arial"/>
      <family val="2"/>
    </font>
    <font>
      <u/>
      <sz val="12"/>
      <color theme="4"/>
      <name val="Arial"/>
      <family val="2"/>
    </font>
    <font>
      <sz val="11"/>
      <color theme="4" tint="-0.249977111117893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</font>
    <font>
      <sz val="12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34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1" fillId="0" borderId="0" xfId="0" quotePrefix="1" applyFont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21" fillId="0" borderId="0" xfId="0" applyFont="1" applyAlignment="1">
      <alignment vertical="center" wrapText="1"/>
    </xf>
    <xf numFmtId="0" fontId="21" fillId="0" borderId="0" xfId="0" quotePrefix="1" applyFont="1" applyAlignment="1">
      <alignment vertical="center"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 applyProtection="1">
      <alignment horizontal="center" vertical="center" wrapText="1"/>
      <protection locked="0"/>
    </xf>
    <xf numFmtId="20" fontId="19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0" xfId="2" applyFont="1" applyFill="1" applyBorder="1" applyAlignment="1">
      <alignment horizontal="center" vertical="center" wrapText="1"/>
    </xf>
    <xf numFmtId="9" fontId="0" fillId="0" borderId="0" xfId="42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top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vertical="top" wrapText="1"/>
    </xf>
    <xf numFmtId="14" fontId="25" fillId="0" borderId="0" xfId="0" applyNumberFormat="1" applyFont="1" applyAlignment="1">
      <alignment vertical="top"/>
    </xf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0" borderId="0" xfId="42" applyNumberFormat="1" applyFont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4" fontId="16" fillId="0" borderId="0" xfId="0" applyNumberFormat="1" applyFont="1" applyAlignment="1">
      <alignment horizontal="center" vertical="center" wrapText="1"/>
    </xf>
    <xf numFmtId="15" fontId="0" fillId="0" borderId="0" xfId="0" applyNumberFormat="1"/>
    <xf numFmtId="0" fontId="3" fillId="0" borderId="0" xfId="2" applyFill="1" applyBorder="1" applyAlignment="1">
      <alignment horizontal="center"/>
    </xf>
    <xf numFmtId="0" fontId="0" fillId="0" borderId="13" xfId="0" applyBorder="1"/>
    <xf numFmtId="16" fontId="0" fillId="0" borderId="13" xfId="0" applyNumberFormat="1" applyBorder="1"/>
    <xf numFmtId="16" fontId="0" fillId="0" borderId="0" xfId="0" applyNumberFormat="1"/>
    <xf numFmtId="0" fontId="0" fillId="0" borderId="0" xfId="0" applyAlignment="1">
      <alignment horizontal="right" vertical="center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0" fillId="34" borderId="0" xfId="0" applyFont="1" applyFill="1" applyAlignment="1">
      <alignment horizontal="left" wrapText="1"/>
    </xf>
    <xf numFmtId="0" fontId="30" fillId="0" borderId="0" xfId="0" applyFont="1" applyAlignment="1">
      <alignment horizontal="left" wrapText="1"/>
    </xf>
    <xf numFmtId="0" fontId="29" fillId="0" borderId="0" xfId="0" applyFont="1"/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31" fillId="33" borderId="1" xfId="2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32" fillId="0" borderId="0" xfId="3" applyFont="1" applyBorder="1" applyAlignment="1">
      <alignment horizontal="center" vertical="center" wrapText="1"/>
    </xf>
    <xf numFmtId="0" fontId="23" fillId="33" borderId="0" xfId="2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19" fillId="0" borderId="0" xfId="0" applyNumberFormat="1" applyFont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/>
      <protection locked="0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21" fillId="0" borderId="11" xfId="44" applyFont="1" applyBorder="1" applyAlignment="1">
      <alignment wrapText="1"/>
    </xf>
    <xf numFmtId="165" fontId="19" fillId="0" borderId="0" xfId="0" applyNumberFormat="1" applyFont="1" applyAlignment="1" applyProtection="1">
      <alignment horizontal="center" vertical="center" wrapText="1"/>
      <protection locked="0"/>
    </xf>
    <xf numFmtId="14" fontId="19" fillId="0" borderId="11" xfId="0" applyNumberFormat="1" applyFont="1" applyBorder="1" applyAlignment="1">
      <alignment horizontal="center"/>
    </xf>
    <xf numFmtId="14" fontId="19" fillId="0" borderId="0" xfId="0" applyNumberFormat="1" applyFont="1" applyAlignment="1">
      <alignment horizontal="center"/>
    </xf>
    <xf numFmtId="14" fontId="19" fillId="0" borderId="11" xfId="0" applyNumberFormat="1" applyFont="1" applyBorder="1" applyAlignment="1" applyProtection="1">
      <alignment horizontal="center" vertical="center" wrapText="1"/>
      <protection locked="0"/>
    </xf>
    <xf numFmtId="0" fontId="21" fillId="0" borderId="0" xfId="44" applyFont="1" applyAlignment="1">
      <alignment wrapText="1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35" fillId="35" borderId="0" xfId="2" applyFont="1" applyFill="1" applyBorder="1" applyAlignment="1">
      <alignment horizontal="center"/>
    </xf>
    <xf numFmtId="0" fontId="35" fillId="0" borderId="0" xfId="2" applyFont="1" applyFill="1" applyBorder="1" applyAlignment="1">
      <alignment horizontal="center"/>
    </xf>
    <xf numFmtId="0" fontId="37" fillId="0" borderId="0" xfId="2" applyFont="1" applyFill="1" applyBorder="1" applyAlignment="1">
      <alignment horizontal="center"/>
    </xf>
    <xf numFmtId="49" fontId="0" fillId="0" borderId="11" xfId="0" applyNumberFormat="1" applyBorder="1" applyAlignment="1" applyProtection="1">
      <alignment horizontal="center"/>
      <protection locked="0"/>
    </xf>
    <xf numFmtId="0" fontId="3" fillId="33" borderId="12" xfId="2" applyFill="1" applyBorder="1" applyAlignment="1" applyProtection="1">
      <alignment horizontal="center"/>
      <protection locked="0"/>
    </xf>
    <xf numFmtId="0" fontId="3" fillId="0" borderId="12" xfId="2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1" xfId="0" applyBorder="1"/>
    <xf numFmtId="0" fontId="19" fillId="0" borderId="0" xfId="0" applyFont="1" applyAlignment="1">
      <alignment horizontal="right"/>
    </xf>
    <xf numFmtId="0" fontId="40" fillId="0" borderId="0" xfId="43" applyFont="1" applyAlignment="1">
      <alignment horizontal="center"/>
    </xf>
    <xf numFmtId="0" fontId="41" fillId="34" borderId="11" xfId="0" applyFont="1" applyFill="1" applyBorder="1" applyAlignment="1">
      <alignment horizontal="right"/>
    </xf>
    <xf numFmtId="0" fontId="39" fillId="34" borderId="11" xfId="0" applyFont="1" applyFill="1" applyBorder="1" applyAlignment="1">
      <alignment horizontal="center"/>
    </xf>
    <xf numFmtId="0" fontId="41" fillId="0" borderId="11" xfId="0" applyFont="1" applyBorder="1" applyAlignment="1">
      <alignment horizontal="right"/>
    </xf>
    <xf numFmtId="0" fontId="39" fillId="0" borderId="11" xfId="0" applyFont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38" fillId="0" borderId="0" xfId="0" applyFont="1"/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 wrapText="1"/>
    </xf>
    <xf numFmtId="165" fontId="45" fillId="0" borderId="0" xfId="0" applyNumberFormat="1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left" vertical="center" wrapText="1"/>
      <protection locked="0"/>
    </xf>
    <xf numFmtId="164" fontId="45" fillId="0" borderId="0" xfId="0" applyNumberFormat="1" applyFont="1" applyAlignment="1" applyProtection="1">
      <alignment horizontal="center" vertical="center" wrapText="1"/>
      <protection locked="0"/>
    </xf>
    <xf numFmtId="14" fontId="0" fillId="0" borderId="0" xfId="0" applyNumberFormat="1" applyAlignment="1">
      <alignment vertical="center" wrapText="1"/>
    </xf>
    <xf numFmtId="14" fontId="24" fillId="0" borderId="0" xfId="0" applyNumberFormat="1" applyFont="1" applyAlignment="1">
      <alignment horizontal="center" vertical="center" wrapText="1"/>
    </xf>
    <xf numFmtId="0" fontId="0" fillId="36" borderId="0" xfId="0" applyFill="1" applyAlignment="1">
      <alignment vertical="center" wrapText="1"/>
    </xf>
    <xf numFmtId="0" fontId="42" fillId="0" borderId="0" xfId="44" applyFont="1" applyAlignment="1">
      <alignment wrapText="1"/>
    </xf>
    <xf numFmtId="166" fontId="19" fillId="0" borderId="0" xfId="0" applyNumberFormat="1" applyFont="1" applyAlignment="1" applyProtection="1">
      <alignment horizontal="center" vertical="center" wrapText="1"/>
      <protection locked="0"/>
    </xf>
    <xf numFmtId="0" fontId="4" fillId="0" borderId="2" xfId="3" applyAlignment="1">
      <alignment horizontal="center" wrapText="1"/>
    </xf>
    <xf numFmtId="0" fontId="4" fillId="0" borderId="0" xfId="3" applyBorder="1" applyAlignment="1">
      <alignment horizontal="center"/>
    </xf>
    <xf numFmtId="0" fontId="4" fillId="0" borderId="2" xfId="3" applyAlignment="1">
      <alignment horizontal="center"/>
    </xf>
    <xf numFmtId="0" fontId="36" fillId="0" borderId="2" xfId="3" applyFont="1" applyAlignment="1">
      <alignment horizontal="center"/>
    </xf>
    <xf numFmtId="0" fontId="37" fillId="0" borderId="0" xfId="2" applyFont="1" applyBorder="1" applyAlignment="1">
      <alignment horizontal="center"/>
    </xf>
    <xf numFmtId="0" fontId="0" fillId="0" borderId="11" xfId="0" applyBorder="1" applyAlignment="1">
      <alignment horizontal="left"/>
    </xf>
    <xf numFmtId="0" fontId="42" fillId="0" borderId="0" xfId="0" applyFont="1" applyAlignment="1">
      <alignment horizontal="center"/>
    </xf>
    <xf numFmtId="0" fontId="43" fillId="0" borderId="11" xfId="0" applyFont="1" applyBorder="1" applyAlignment="1">
      <alignment horizontal="left" wrapText="1"/>
    </xf>
    <xf numFmtId="0" fontId="24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2" applyBorder="1" applyAlignment="1">
      <alignment horizontal="center"/>
    </xf>
    <xf numFmtId="14" fontId="33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DEB86761-7C0F-474D-AB0B-F7A8F47B455E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font>
        <b val="0"/>
        <i val="0"/>
        <u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6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6" formatCode="dd/mm/yyyy"/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[$]hh:mm;@" x16r2:formatCode16="[$-en-KI,1]hh:mm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d/mm/yyyy"/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8" formatCode="dd\-mmm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/>
        <vertAlign val="baseline"/>
        <sz val="12"/>
        <color theme="4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</font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top style="thick">
          <color theme="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BB4942FD-3EF4-4B23-9B34-DF448D3B2D9E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firstRowStripe" dxfId="106"/>
      <tableStyleElement type="firstColumnStripe" dxfId="105"/>
    </tableStyle>
    <tableStyle name="PivotStylePreset2_Accent1" table="0" count="10" xr9:uid="{F3E35B00-0713-42B1-A7ED-FCECD6D45D3A}">
      <tableStyleElement type="headerRow" dxfId="104"/>
      <tableStyleElement type="totalRow" dxfId="103"/>
      <tableStyleElement type="firstRowStripe" dxfId="102"/>
      <tableStyleElement type="firstColumnStripe" dxfId="101"/>
      <tableStyleElement type="firstSubtotalRow" dxfId="100"/>
      <tableStyleElement type="secondSubtotalRow" dxfId="99"/>
      <tableStyleElement type="firstRowSubheading" dxfId="98"/>
      <tableStyleElement type="secondRowSubheading" dxfId="97"/>
      <tableStyleElement type="pageFieldLabels" dxfId="96"/>
      <tableStyleElement type="pageFieldValues" dxfId="9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</a:t>
            </a:r>
          </a:p>
        </c:rich>
      </c:tx>
      <c:layout>
        <c:manualLayout>
          <c:xMode val="edge"/>
          <c:yMode val="edge"/>
          <c:x val="4.7489535891431414E-2"/>
          <c:y val="2.2855044614107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I"/>
        </a:p>
      </c:txPr>
    </c:title>
    <c:autoTitleDeleted val="0"/>
    <c:plotArea>
      <c:layout>
        <c:manualLayout>
          <c:layoutTarget val="inner"/>
          <c:xMode val="edge"/>
          <c:yMode val="edge"/>
          <c:x val="0.15911705628848674"/>
          <c:y val="1.6113718018393324E-2"/>
          <c:w val="0.7255117651125117"/>
          <c:h val="0.88390387797525216"/>
        </c:manualLayout>
      </c:layout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No. Findings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55-46B3-8E8E-EB79165075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55-46B3-8E8E-EB79165075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55-46B3-8E8E-EB79165075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55-46B3-8E8E-EB79165075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3-4D4D-9675-3E526EEE09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55-46B3-8E8E-EB791650753E}"/>
              </c:ext>
            </c:extLst>
          </c:dPt>
          <c:cat>
            <c:strRef>
              <c:f>Dashboard!$B$3:$B$8</c:f>
              <c:strCache>
                <c:ptCount val="6"/>
                <c:pt idx="0">
                  <c:v>CAAK</c:v>
                </c:pt>
                <c:pt idx="1">
                  <c:v>HSSE</c:v>
                </c:pt>
                <c:pt idx="2">
                  <c:v>SSCWB</c:v>
                </c:pt>
                <c:pt idx="3">
                  <c:v>NMR</c:v>
                </c:pt>
                <c:pt idx="4">
                  <c:v>IR</c:v>
                </c:pt>
                <c:pt idx="5">
                  <c:v>LOD3 E.Insp</c:v>
                </c:pt>
              </c:strCache>
            </c:strRef>
          </c:cat>
          <c:val>
            <c:numRef>
              <c:f>Dashboard!$C$3:$C$8</c:f>
              <c:numCache>
                <c:formatCode>General</c:formatCode>
                <c:ptCount val="6"/>
                <c:pt idx="0">
                  <c:v>2</c:v>
                </c:pt>
                <c:pt idx="1">
                  <c:v>14</c:v>
                </c:pt>
                <c:pt idx="2">
                  <c:v>12</c:v>
                </c:pt>
                <c:pt idx="3">
                  <c:v>47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3-4D4D-9675-3E526EEE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952598292971E-2"/>
          <c:y val="0.89294852356465038"/>
          <c:w val="0.89999977879203386"/>
          <c:h val="9.0892859036208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181731</xdr:colOff>
      <xdr:row>0</xdr:row>
      <xdr:rowOff>10951</xdr:rowOff>
    </xdr:from>
    <xdr:to>
      <xdr:col>6</xdr:col>
      <xdr:colOff>182217</xdr:colOff>
      <xdr:row>10</xdr:row>
      <xdr:rowOff>74543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D196D-E74A-D4F4-A88E-0BDCA025F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375088</xdr:colOff>
      <xdr:row>2</xdr:row>
      <xdr:rowOff>24489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87CDB-0D36-48FC-B16E-D45CA4168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0" t="31921" r="22203" b="31204"/>
        <a:stretch>
          <a:fillRect/>
        </a:stretch>
      </xdr:blipFill>
      <xdr:spPr>
        <a:xfrm>
          <a:off x="9525" y="38100"/>
          <a:ext cx="1156138" cy="4435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164225</xdr:colOff>
      <xdr:row>0</xdr:row>
      <xdr:rowOff>78171</xdr:rowOff>
    </xdr:from>
    <xdr:to>
      <xdr:col>2</xdr:col>
      <xdr:colOff>98535</xdr:colOff>
      <xdr:row>3</xdr:row>
      <xdr:rowOff>35657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8CDE2-88FA-9870-C99F-3F228DB616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0" t="31921" r="22203" b="31204"/>
        <a:stretch>
          <a:fillRect/>
        </a:stretch>
      </xdr:blipFill>
      <xdr:spPr>
        <a:xfrm>
          <a:off x="164225" y="78171"/>
          <a:ext cx="1156138" cy="4435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areke\Downloads\Hazards%20Effects%20Register_Handshake%201_Final%20-%20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zard &amp; Effects Register"/>
      <sheetName val="Risk Summary Yellow  Red"/>
      <sheetName val="Hazards"/>
      <sheetName val="RAM Card back"/>
      <sheetName val="RAM Card front"/>
      <sheetName val="Bonriki"/>
      <sheetName val="Beti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B0C529-E72B-4A81-9B59-BB54693EC1DF}" name="Table5" displayName="Table5" ref="B2:C8" totalsRowShown="0" headerRowDxfId="94" dataDxfId="93" tableBorderDxfId="92">
  <autoFilter ref="B2:C8" xr:uid="{00B0C529-E72B-4A81-9B59-BB54693EC1DF}"/>
  <tableColumns count="2">
    <tableColumn id="1" xr3:uid="{32EB8C49-DCB4-4C62-9199-0CF509D830CD}" name="Source" dataDxfId="91"/>
    <tableColumn id="2" xr3:uid="{26207E30-285B-47A9-AA54-55CCFE6E50F6}" name="No. Findings" dataDxfId="9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4581A0-00B5-465A-B191-DBF2C847D53D}" name="Table7" displayName="Table7" ref="B13:C18" totalsRowShown="0" dataDxfId="89">
  <autoFilter ref="B13:C18" xr:uid="{E24581A0-00B5-465A-B191-DBF2C847D53D}"/>
  <tableColumns count="2">
    <tableColumn id="1" xr3:uid="{18CBCD91-5FD3-46EB-802A-2A5006863F92}" name="Item" dataDxfId="88"/>
    <tableColumn id="2" xr3:uid="{17556010-EF23-4345-98E6-B1172F02667E}" name="Counts" dataDxfId="8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A93CD9-95E8-456D-8532-F4DCFF16F6EC}" name="Table8" displayName="Table8" ref="B21:C26" totalsRowShown="0" headerRowDxfId="86" dataDxfId="85">
  <autoFilter ref="B21:C26" xr:uid="{4EA93CD9-95E8-456D-8532-F4DCFF16F6EC}"/>
  <tableColumns count="2">
    <tableColumn id="1" xr3:uid="{379E3022-C6D0-4B32-86CE-84E210377B83}" name="Month" dataDxfId="84"/>
    <tableColumn id="2" xr3:uid="{ECE0F625-FA23-47DC-AA90-236FB7082623}" name="Findings" dataDxfId="8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68EE04-5F01-4C38-9BB3-356F4CA74ADB}" name="Table10" displayName="Table10" ref="H2:I7" totalsRowShown="0" headerRowDxfId="82" dataDxfId="81">
  <autoFilter ref="H2:I7" xr:uid="{C568EE04-5F01-4C38-9BB3-356F4CA74ADB}"/>
  <tableColumns count="2">
    <tableColumn id="1" xr3:uid="{61E55606-88A4-481A-90C3-06F19CF77C71}" name="Audit Source" dataDxfId="80"/>
    <tableColumn id="2" xr3:uid="{136D148E-1690-4881-AD0D-24650BFF712A}" name="Worksheet Title" dataDxfId="7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3525F9-4891-4EB0-B362-05C67A769F36}" name="Table11" displayName="Table11" ref="E13:F18" totalsRowShown="0" headerRowDxfId="78" dataDxfId="77">
  <autoFilter ref="E13:F18" xr:uid="{9C3525F9-4891-4EB0-B362-05C67A769F36}"/>
  <tableColumns count="2">
    <tableColumn id="1" xr3:uid="{8E0411A6-F203-4200-A677-5DB1568A8408}" name="Item" dataDxfId="76"/>
    <tableColumn id="2" xr3:uid="{5C1577B1-1BDE-4DC7-8798-29E6BEB226E3}" name="Counts" dataDxfId="7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35C9A4-F03B-4DAE-BF16-8E6AFB33F80E}" name="Table12" displayName="Table12" ref="E21:F23" totalsRowShown="0" headerRowDxfId="74" dataDxfId="73">
  <autoFilter ref="E21:F23" xr:uid="{7435C9A4-F03B-4DAE-BF16-8E6AFB33F80E}"/>
  <tableColumns count="2">
    <tableColumn id="1" xr3:uid="{B673E816-3EF2-4A63-811A-4B94C0179AD9}" name="Month" dataDxfId="72"/>
    <tableColumn id="2" xr3:uid="{9A10EFBF-01DC-4D31-801A-D1DEC37E58A3}" name="Findings" dataDxfId="71">
      <calculatedColumnFormula>COUNTIF(NMI!N3:N4953,E22)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A5246-5C2F-4DA6-AE62-004E77863527}" name="Table1" displayName="Table1" ref="A3:O37" totalsRowShown="0" headerRowDxfId="70" dataDxfId="69">
  <autoFilter ref="A3:O37" xr:uid="{228A5246-5C2F-4DA6-AE62-004E77863527}">
    <filterColumn colId="2">
      <filters>
        <filter val="SSC WB"/>
      </filters>
    </filterColumn>
  </autoFilter>
  <sortState xmlns:xlrd2="http://schemas.microsoft.com/office/spreadsheetml/2017/richdata2" ref="A4:O37">
    <sortCondition ref="C3:C37"/>
  </sortState>
  <tableColumns count="15">
    <tableColumn id="1" xr3:uid="{D19ACE3A-E5F8-45DD-AA6D-0F0E3CBF49C2}" name="Item#" dataDxfId="68">
      <calculatedColumnFormula>IF((Table1[[#This Row],[Audit Date]]=""),"",ROW(A1))</calculatedColumnFormula>
    </tableColumn>
    <tableColumn id="2" xr3:uid="{8E7895F2-846B-4775-A854-F1DA21E7363A}" name="Audit Date" dataDxfId="67"/>
    <tableColumn id="8" xr3:uid="{618CE16C-B8DA-42E9-B18C-2C657C46223D}" name="Source" dataDxfId="66"/>
    <tableColumn id="13" xr3:uid="{8C1BC54A-C05C-49CD-A394-CF428165DFC1}" name="LOCID" dataDxfId="65"/>
    <tableColumn id="3" xr3:uid="{B7E7C735-D2D4-49A2-9556-0392C5C1CE96}" name="Location ID" dataDxfId="64"/>
    <tableColumn id="4" xr3:uid="{F95D6FA7-5AFC-4527-8637-FD650BF6010E}" name="Findings" dataDxfId="63"/>
    <tableColumn id="5" xr3:uid="{04800D9E-E942-4BED-BB4A-E60349C51E35}" name="Risk" dataDxfId="62"/>
    <tableColumn id="14" xr3:uid="{7E482955-7089-4295-8A73-9D4285A4F8B3}" name="Recommendation" dataDxfId="61"/>
    <tableColumn id="6" xr3:uid="{21C6FC4E-5685-4862-B571-93F42A148D8F}" name="Responsible Officer" dataDxfId="60"/>
    <tableColumn id="7" xr3:uid="{1A769439-976C-4326-BC10-EDFD23819589}" name="Status" dataDxfId="59"/>
    <tableColumn id="11" xr3:uid="{27F1ED6E-9CD1-45DB-8B02-DEF81623CE64}" name="Target Date" dataDxfId="58"/>
    <tableColumn id="12" xr3:uid="{4C8713BE-A21A-4B6F-BBAD-654BE1CEBDAC}" name="% complete" dataDxfId="57"/>
    <tableColumn id="9" xr3:uid="{EF2E4B4C-D5AE-4229-B057-34BA680AC40C}" name="Actual Date" dataDxfId="56"/>
    <tableColumn id="10" xr3:uid="{7AAE554B-E1B6-4AB3-80B2-2B559D85FAE7}" name="Serverity" dataDxfId="55"/>
    <tableColumn id="15" xr3:uid="{7EFF8496-BB42-4B43-AB3B-3F7AF9495361}" name="Month" dataDxfId="54">
      <calculatedColumnFormula>TEXT(Table1[[#This Row],[Audit Date]],"mmm")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AF3422-6E62-4759-87FD-E0239449999C}" name="Table1333" displayName="Table1333" ref="A3:O119" totalsRowShown="0" headerRowDxfId="53" dataDxfId="52" tableBorderDxfId="51" headerRowCellStyle="Heading 1">
  <autoFilter ref="A3:O119" xr:uid="{00000000-0009-0000-0100-00002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4:O48">
    <sortCondition ref="D3:D48"/>
  </sortState>
  <tableColumns count="15">
    <tableColumn id="1" xr3:uid="{9BA993F4-B75B-4C38-A387-E310ACB4BA46}" name="NM/I no." dataDxfId="50">
      <calculatedColumnFormula>IF((Table1333[[#This Row],[Date]]=""),"",ROW(A1))</calculatedColumnFormula>
    </tableColumn>
    <tableColumn id="2" xr3:uid="{00391AFC-8B5E-4FE0-AD35-9495AEF5CE0F}" name="Date" dataDxfId="49"/>
    <tableColumn id="3" xr3:uid="{3B756E90-5C93-4B28-A176-50BDEA1A7C21}" name="Time" dataDxfId="48"/>
    <tableColumn id="4" xr3:uid="{E879FC09-ED19-43C5-983A-AFDEDD89A32B}" name="Reported by" dataDxfId="47"/>
    <tableColumn id="13" xr3:uid="{15F3700E-E533-4ABB-A399-4FD18B69B432}" name="Loc ID" dataDxfId="46"/>
    <tableColumn id="5" xr3:uid="{2CC22662-79E7-4636-B30E-360F71638CB0}" name="Location" dataDxfId="45">
      <calculatedColumnFormula>IF(Table1333[[#This Row],[Loc ID]]="","",VLOOKUP(Table1333[[#This Row],[Loc ID]],Loc_ID[],2,0))</calculatedColumnFormula>
    </tableColumn>
    <tableColumn id="6" xr3:uid="{94B570D4-A0D5-4D09-AC0E-55BB3EC853D6}" name="Issue" dataDxfId="44"/>
    <tableColumn id="7" xr3:uid="{186CF72E-FB3E-4803-B29B-4B9E57101505}" name="Types of Reporting" dataDxfId="43"/>
    <tableColumn id="8" xr3:uid="{4D268544-CA08-4DF3-8FC3-FF7A1C2AACE8}" name="Action Taken" dataDxfId="42"/>
    <tableColumn id="9" xr3:uid="{E092D587-180E-4F2E-AADA-6B668849F865}" name="Recommendation" dataDxfId="41"/>
    <tableColumn id="10" xr3:uid="{E58FA9E9-BF68-4801-83A9-091D73AFE3DA}" name="Responsible Staff" dataDxfId="40"/>
    <tableColumn id="11" xr3:uid="{35E9B244-8344-4DF6-83C4-E3269123F30A}" name="Target Date" dataDxfId="39"/>
    <tableColumn id="12" xr3:uid="{46745F03-706B-4A22-A841-91043EAD6162}" name="Status" dataDxfId="38"/>
    <tableColumn id="15" xr3:uid="{BE6C042C-4D48-4615-8ACA-939E80FDFFF4}" name="RD" dataDxfId="37">
      <calculatedColumnFormula>IF(Table1333[[#This Row],[Date]]="","",(TEXT(Table1333[[#This Row],[Date]],"MMM")))</calculatedColumnFormula>
    </tableColumn>
    <tableColumn id="14" xr3:uid="{7543609B-D83F-44CC-9ED7-CF08C4409694}" name="TD" dataDxfId="36">
      <calculatedColumnFormula>IF(Table1333[[#This Row],[Target Date]]="","",(TEXT(Table1333[[#This Row],[Target Date]],"MMM")))</calculatedColumnFormula>
    </tableColumn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776CB0-B0C9-490B-948D-81F3F8A00A6D}" name="Table9" displayName="Table9" ref="A1:J11" totalsRowShown="0" headerRowDxfId="35" dataDxfId="34">
  <autoFilter ref="A1:J11" xr:uid="{E9776CB0-B0C9-490B-948D-81F3F8A00A6D}"/>
  <sortState xmlns:xlrd2="http://schemas.microsoft.com/office/spreadsheetml/2017/richdata2" ref="A2:J10">
    <sortCondition ref="A1:A10"/>
  </sortState>
  <tableColumns count="10">
    <tableColumn id="1" xr3:uid="{0B741267-DA44-4BF7-9300-47410D7281FA}" name="Ref No" dataDxfId="33"/>
    <tableColumn id="2" xr3:uid="{8EAA6AB5-6B32-4915-928D-3613E644A1BC}" name="Date" dataDxfId="32"/>
    <tableColumn id="3" xr3:uid="{18395C49-24CE-4678-A472-701E385E5D93}" name="Reporter" dataDxfId="31"/>
    <tableColumn id="4" xr3:uid="{C0C8CB77-E7C0-41EB-B7B7-28ABCD1FFAA3}" name="Type" dataDxfId="30"/>
    <tableColumn id="5" xr3:uid="{AB149836-ED9D-4585-BEB1-9A1470DE17E9}" name="Location" dataDxfId="29"/>
    <tableColumn id="6" xr3:uid="{36597F78-F148-4847-A458-70B5055FF723}" name="Description" dataDxfId="28"/>
    <tableColumn id="7" xr3:uid="{76AEB5C7-D7E2-46CA-932C-745B22009EAC}" name="Root Cause" dataDxfId="27"/>
    <tableColumn id="8" xr3:uid="{5D97E3B9-0F0B-4B37-B3E8-DFD6952EF930}" name="Impact" dataDxfId="26"/>
    <tableColumn id="9" xr3:uid="{7FB425C9-7432-4BC4-B11D-328F4B9A5F68}" name="Action Taken" dataDxfId="25"/>
    <tableColumn id="10" xr3:uid="{39430342-CF8A-46B9-A5C0-70D0394AD7F8}" name="Recommendations" dataDxfId="24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D7933E-E37F-46D3-96CC-34358F85EF61}" name="Table2" displayName="Table2" ref="A3:G8" totalsRowShown="0" headerRowDxfId="23" dataDxfId="22">
  <autoFilter ref="A3:G8" xr:uid="{8E9C9A1B-4E18-49EF-A692-92B4604D92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E2AF72B-DD54-4EB0-8F71-CBB53F7003AA}" name="Item" dataDxfId="21"/>
    <tableColumn id="7" xr3:uid="{3E7B0B6D-BEB2-4B8D-903A-A5D1F09DD544}" name="Site" dataDxfId="20"/>
    <tableColumn id="6" xr3:uid="{3C208850-B66D-43D2-A06E-F3D08E596DA5}" name="Location" dataDxfId="19"/>
    <tableColumn id="2" xr3:uid="{C8CBCF9C-E84F-4FEE-AE1B-AEB771413236}" name="Inspection" dataDxfId="18"/>
    <tableColumn id="3" xr3:uid="{21E66130-3D2D-4D36-889F-0FFD0C8B4C21}" name="Description" dataDxfId="17"/>
    <tableColumn id="4" xr3:uid="{C006D80A-A660-4D88-B6DB-F22E8841702D}" name="Recommendation" dataDxfId="16"/>
    <tableColumn id="5" xr3:uid="{43562CCF-2B7E-40A3-8197-2A588413CCAF}" name="Status" dataDxfId="1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E556A0-3A8F-47C8-96AE-F51F03A00AB0}" name="Table3" displayName="Table3" ref="A1:H6" totalsRowShown="0" headerRowDxfId="14" dataDxfId="13">
  <autoFilter ref="A1:H6" xr:uid="{58E556A0-3A8F-47C8-96AE-F51F03A00AB0}"/>
  <sortState xmlns:xlrd2="http://schemas.microsoft.com/office/spreadsheetml/2017/richdata2" ref="A2:H6">
    <sortCondition ref="B1:B6"/>
  </sortState>
  <tableColumns count="8">
    <tableColumn id="1" xr3:uid="{757D889F-B57C-4240-A71B-708310D03585}" name="#" dataDxfId="12"/>
    <tableColumn id="2" xr3:uid="{7AFFB81A-977F-4A93-87C6-F73AECDF2923}" name="Audit Date" dataDxfId="11"/>
    <tableColumn id="3" xr3:uid="{C1FF0247-7F2C-445B-A9B5-F583EDBF0F8A}" name="Audit Type" dataDxfId="10"/>
    <tableColumn id="4" xr3:uid="{A5603CE1-A442-4128-A80B-635012350694}" name="Auditor(s)" dataDxfId="9"/>
    <tableColumn id="5" xr3:uid="{973AE5F4-A2DE-4C5C-8D44-A8D825976AD2}" name="Location/Area" dataDxfId="8"/>
    <tableColumn id="6" xr3:uid="{9BFE561E-4B89-4600-B696-EED4790E4107}" name="Department" dataDxfId="7"/>
    <tableColumn id="7" xr3:uid="{598C6FA5-DB49-4CAC-A49F-893B97BFE476}" name="Status" dataDxfId="6"/>
    <tableColumn id="8" xr3:uid="{6807ACFA-D5D3-45F6-B834-1BA0C3AAB1E8}" name="Remarks" dataDxfId="5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D8E146-62C7-4320-B952-863BBFB54280}" name="Loc_ID" displayName="Loc_ID" ref="A1:B33" totalsRowShown="0" headerRowDxfId="4" dataDxfId="3">
  <autoFilter ref="A1:B33" xr:uid="{68D8E146-62C7-4320-B952-863BBFB54280}"/>
  <tableColumns count="2">
    <tableColumn id="1" xr3:uid="{AEB36080-2BB6-47CA-BE2B-61FE3D7E2601}" name="Loc ID" dataDxfId="2"/>
    <tableColumn id="2" xr3:uid="{978A9D91-783B-43A7-BE5F-3ADFCD04FEA4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5B84-05B8-4EFF-91BA-F1F2FF06ED04}">
  <sheetPr>
    <tabColor rgb="FF00B050"/>
  </sheetPr>
  <dimension ref="B1:K26"/>
  <sheetViews>
    <sheetView showGridLines="0" tabSelected="1" topLeftCell="A6" zoomScale="137" zoomScaleNormal="160" workbookViewId="0">
      <selection activeCell="B1" sqref="B1:I26"/>
    </sheetView>
  </sheetViews>
  <sheetFormatPr defaultRowHeight="15" x14ac:dyDescent="0.25"/>
  <cols>
    <col min="1" max="1" width="1.7109375" customWidth="1"/>
    <col min="2" max="2" width="23.85546875" style="17" customWidth="1"/>
    <col min="3" max="3" width="29.28515625" customWidth="1"/>
    <col min="4" max="4" width="3.140625" customWidth="1"/>
    <col min="5" max="5" width="26.85546875" customWidth="1"/>
    <col min="6" max="6" width="17.5703125" customWidth="1"/>
    <col min="7" max="7" width="5.5703125" customWidth="1"/>
    <col min="8" max="8" width="25.7109375" customWidth="1"/>
    <col min="9" max="9" width="22.85546875" customWidth="1"/>
    <col min="10" max="10" width="4.7109375" customWidth="1"/>
    <col min="11" max="11" width="29.7109375" customWidth="1"/>
    <col min="12" max="12" width="13" customWidth="1"/>
  </cols>
  <sheetData>
    <row r="1" spans="2:11" ht="21.75" thickBot="1" x14ac:dyDescent="0.4">
      <c r="B1" s="105" t="s">
        <v>0</v>
      </c>
      <c r="C1" s="105"/>
      <c r="H1" s="107" t="s">
        <v>1</v>
      </c>
      <c r="I1" s="107"/>
    </row>
    <row r="2" spans="2:11" ht="19.5" thickTop="1" x14ac:dyDescent="0.3">
      <c r="B2" s="28" t="s">
        <v>2</v>
      </c>
      <c r="C2" s="28" t="s">
        <v>3</v>
      </c>
      <c r="H2" s="36" t="s">
        <v>4</v>
      </c>
      <c r="I2" s="28" t="s">
        <v>5</v>
      </c>
    </row>
    <row r="3" spans="2:11" s="47" customFormat="1" ht="18.75" customHeight="1" x14ac:dyDescent="0.3">
      <c r="B3" s="84" t="s">
        <v>6</v>
      </c>
      <c r="C3" s="57">
        <f>COUNTIF(AUDITS!C4:C5000, "CAAK")</f>
        <v>2</v>
      </c>
      <c r="G3" s="47">
        <v>1</v>
      </c>
      <c r="H3" s="67" t="s">
        <v>7</v>
      </c>
      <c r="I3" s="85" t="s">
        <v>8</v>
      </c>
    </row>
    <row r="4" spans="2:11" s="47" customFormat="1" ht="17.25" x14ac:dyDescent="0.3">
      <c r="B4" s="84" t="s">
        <v>9</v>
      </c>
      <c r="C4" s="57">
        <f>COUNTIF(AUDITS!C:C, "HSSE")</f>
        <v>14</v>
      </c>
      <c r="G4" s="47">
        <v>2</v>
      </c>
      <c r="H4" s="67" t="s">
        <v>10</v>
      </c>
      <c r="I4" s="85" t="s">
        <v>11</v>
      </c>
    </row>
    <row r="5" spans="2:11" s="47" customFormat="1" ht="17.25" x14ac:dyDescent="0.3">
      <c r="B5" s="84" t="s">
        <v>12</v>
      </c>
      <c r="C5" s="57">
        <f>COUNTIF(AUDITS!C4:C5000, "SSC WB")</f>
        <v>12</v>
      </c>
      <c r="G5" s="47">
        <v>3</v>
      </c>
      <c r="H5" s="67" t="s">
        <v>13</v>
      </c>
      <c r="I5" s="85" t="s">
        <v>14</v>
      </c>
    </row>
    <row r="6" spans="2:11" s="47" customFormat="1" ht="21.75" customHeight="1" x14ac:dyDescent="0.3">
      <c r="B6" s="84" t="s">
        <v>11</v>
      </c>
      <c r="C6" s="57">
        <f>COUNTIF(NMI!H4:H4953, "Nearmiss")</f>
        <v>47</v>
      </c>
      <c r="G6" s="47">
        <v>4</v>
      </c>
      <c r="H6" s="67" t="s">
        <v>15</v>
      </c>
      <c r="I6" s="85" t="s">
        <v>16</v>
      </c>
    </row>
    <row r="7" spans="2:11" s="47" customFormat="1" ht="17.25" x14ac:dyDescent="0.3">
      <c r="B7" s="84" t="s">
        <v>14</v>
      </c>
      <c r="C7" s="57">
        <f>COUNTIF(NMI!H4:H4953, "Incident")+COUNTA(IR!A2:A5000)</f>
        <v>10</v>
      </c>
      <c r="G7" s="47">
        <v>5</v>
      </c>
      <c r="H7" s="67" t="s">
        <v>6</v>
      </c>
      <c r="I7" s="85" t="s">
        <v>8</v>
      </c>
    </row>
    <row r="8" spans="2:11" ht="15.75" x14ac:dyDescent="0.25">
      <c r="B8" s="84" t="s">
        <v>17</v>
      </c>
      <c r="C8" s="57">
        <f>COUNTIF(AUDITS!C4:C5000, "LOD3 E.Insp")</f>
        <v>5</v>
      </c>
    </row>
    <row r="9" spans="2:11" s="5" customFormat="1" ht="24" x14ac:dyDescent="0.4">
      <c r="H9" s="108" t="str">
        <f>"Total number of Audits for 2025 is "&amp;COUNTA(Table3[Audit Date])&amp;"."</f>
        <v>Total number of Audits for 2025 is 5.</v>
      </c>
      <c r="I9" s="108"/>
      <c r="K9" s="75"/>
    </row>
    <row r="12" spans="2:11" ht="24.75" thickBot="1" x14ac:dyDescent="0.45">
      <c r="B12" s="104" t="s">
        <v>18</v>
      </c>
      <c r="C12" s="104"/>
      <c r="E12" s="106" t="s">
        <v>19</v>
      </c>
      <c r="F12" s="106"/>
      <c r="H12" s="77"/>
      <c r="I12" s="76"/>
    </row>
    <row r="13" spans="2:11" ht="19.5" thickTop="1" x14ac:dyDescent="0.3">
      <c r="B13" s="36" t="s">
        <v>20</v>
      </c>
      <c r="C13" s="28" t="s">
        <v>21</v>
      </c>
      <c r="E13" s="28" t="s">
        <v>20</v>
      </c>
      <c r="F13" s="28" t="s">
        <v>21</v>
      </c>
    </row>
    <row r="14" spans="2:11" ht="16.5" x14ac:dyDescent="0.25">
      <c r="B14" s="53" t="s">
        <v>22</v>
      </c>
      <c r="C14" s="49">
        <f>COUNTA(AUDITS!F4:F5000)</f>
        <v>33</v>
      </c>
      <c r="E14" s="50" t="s">
        <v>22</v>
      </c>
      <c r="F14" s="49">
        <f>C6</f>
        <v>47</v>
      </c>
    </row>
    <row r="15" spans="2:11" ht="16.5" x14ac:dyDescent="0.25">
      <c r="B15" s="53" t="s">
        <v>23</v>
      </c>
      <c r="C15" s="49">
        <f>COUNTIF(AUDITS!J:J, "closed")</f>
        <v>16</v>
      </c>
      <c r="E15" s="51" t="s">
        <v>23</v>
      </c>
      <c r="F15" s="49">
        <f>COUNTIFS(NMI!M4:M4953, "Closed")</f>
        <v>47</v>
      </c>
    </row>
    <row r="16" spans="2:11" ht="16.5" x14ac:dyDescent="0.25">
      <c r="B16" s="53" t="s">
        <v>24</v>
      </c>
      <c r="C16" s="49">
        <f>COUNTIF(AUDITS!J:J, "Open")</f>
        <v>12</v>
      </c>
      <c r="E16" s="50" t="s">
        <v>24</v>
      </c>
      <c r="F16" s="49">
        <f>COUNTIFS(NMI!M6:M4953, "Open")</f>
        <v>30</v>
      </c>
    </row>
    <row r="17" spans="2:6" ht="17.45" customHeight="1" x14ac:dyDescent="0.25">
      <c r="B17" s="53" t="s">
        <v>25</v>
      </c>
      <c r="C17" s="49">
        <f ca="1">COUNTIFS(AUDITS!J4:J5000, "&lt;&gt;Closed", AUDITS!K4:K5000, "&lt;" &amp; TODAY(), AUDITS!K4:K5000, "&lt;&gt;""")</f>
        <v>9</v>
      </c>
      <c r="E17" s="51" t="s">
        <v>25</v>
      </c>
      <c r="F17" s="49">
        <f ca="1">COUNTIFS(NMI!M4:M4953,"&lt;&gt;Closed",NMI!L4:L4953, "&lt;"&amp;TODAY(),NMI!L4:L4953,"&lt;&gt;""")</f>
        <v>32</v>
      </c>
    </row>
    <row r="18" spans="2:6" ht="16.5" x14ac:dyDescent="0.25">
      <c r="B18" s="52" t="s">
        <v>26</v>
      </c>
      <c r="C18" s="49">
        <f>COUNTIF(AUDITS!J:J, "In Progress")</f>
        <v>5</v>
      </c>
      <c r="E18" s="52" t="s">
        <v>26</v>
      </c>
      <c r="F18" s="49">
        <f>COUNTIFS(NMI!M4:M4953, "In Progress")</f>
        <v>4</v>
      </c>
    </row>
    <row r="19" spans="2:6" x14ac:dyDescent="0.25">
      <c r="C19" s="5"/>
    </row>
    <row r="20" spans="2:6" ht="18" thickBot="1" x14ac:dyDescent="0.35">
      <c r="B20" s="104" t="s">
        <v>27</v>
      </c>
      <c r="C20" s="104"/>
      <c r="E20" s="106" t="s">
        <v>28</v>
      </c>
      <c r="F20" s="106"/>
    </row>
    <row r="21" spans="2:6" ht="16.5" thickTop="1" x14ac:dyDescent="0.25">
      <c r="B21" s="55" t="s">
        <v>29</v>
      </c>
      <c r="C21" s="37" t="s">
        <v>30</v>
      </c>
      <c r="E21" s="57" t="s">
        <v>29</v>
      </c>
      <c r="F21" s="57" t="s">
        <v>30</v>
      </c>
    </row>
    <row r="22" spans="2:6" ht="16.5" x14ac:dyDescent="0.25">
      <c r="B22" s="48" t="s">
        <v>31</v>
      </c>
      <c r="C22" s="49">
        <f>COUNTIF(AUDITS!O4:O5000, B22)</f>
        <v>5</v>
      </c>
      <c r="E22" s="49" t="s">
        <v>32</v>
      </c>
      <c r="F22" s="49">
        <f>COUNTIF(NMI!N3:N4953,E22)</f>
        <v>25</v>
      </c>
    </row>
    <row r="23" spans="2:6" ht="16.5" x14ac:dyDescent="0.25">
      <c r="B23" s="54" t="s">
        <v>33</v>
      </c>
      <c r="C23" s="49">
        <f>COUNTIF(AUDITS!O4:O5000, B23)</f>
        <v>12</v>
      </c>
      <c r="E23" s="49" t="s">
        <v>34</v>
      </c>
      <c r="F23" s="49">
        <f>COUNTIF(NMI!N4:N4954,E23)</f>
        <v>39</v>
      </c>
    </row>
    <row r="24" spans="2:6" ht="16.5" x14ac:dyDescent="0.25">
      <c r="B24" s="54" t="s">
        <v>35</v>
      </c>
      <c r="C24" s="49">
        <f>COUNTIF(AUDITS!O4:O5000, B24)</f>
        <v>15</v>
      </c>
    </row>
    <row r="25" spans="2:6" ht="16.5" x14ac:dyDescent="0.25">
      <c r="B25" s="54" t="s">
        <v>32</v>
      </c>
      <c r="C25" s="49">
        <f>COUNTIF(AUDITS!O4:O5000, B25)</f>
        <v>1</v>
      </c>
    </row>
    <row r="26" spans="2:6" ht="16.5" x14ac:dyDescent="0.25">
      <c r="B26" s="54" t="s">
        <v>34</v>
      </c>
      <c r="C26" s="49">
        <f>COUNTIF(AUDITS!O5:O5001, B26)</f>
        <v>0</v>
      </c>
    </row>
  </sheetData>
  <sheetProtection formatRows="0" insertColumns="0" insertRows="0" insertHyperlinks="0" deleteColumns="0" deleteRows="0" sort="0" autoFilter="0" pivotTables="0"/>
  <mergeCells count="7">
    <mergeCell ref="B12:C12"/>
    <mergeCell ref="B1:C1"/>
    <mergeCell ref="B20:C20"/>
    <mergeCell ref="E12:F12"/>
    <mergeCell ref="H1:I1"/>
    <mergeCell ref="E20:F20"/>
    <mergeCell ref="H9:I9"/>
  </mergeCells>
  <hyperlinks>
    <hyperlink ref="I3" location="AUDITS!A1" display="AUDITS" xr:uid="{0D1B7588-5B5F-49CD-8FF5-E4A5EBA0F1FD}"/>
    <hyperlink ref="I4" location="NMI!A1" display="NMR" xr:uid="{5FE25F5F-FBCC-485D-AF6C-9C648E5570C5}"/>
    <hyperlink ref="I5" location="IR!A1" display="IR" xr:uid="{76994F81-F072-432F-AD0D-6C27FA3374B7}"/>
    <hyperlink ref="I6" location="EI!A1" display="EI" xr:uid="{D51C7D82-48ED-4D8E-B287-046FD18A1D71}"/>
    <hyperlink ref="I7" location="AUDITS!A1" display="AUDITS" xr:uid="{5FC5C6DD-FA41-4E5C-8D30-82736351B7FA}"/>
  </hyperlink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29F5-C708-4C29-92E2-3E38C908456D}">
  <sheetPr>
    <tabColor rgb="FF0070C0"/>
  </sheetPr>
  <dimension ref="A2:H20"/>
  <sheetViews>
    <sheetView showGridLines="0" view="pageLayout" zoomScaleNormal="100" workbookViewId="0">
      <selection activeCell="E26" sqref="E26"/>
    </sheetView>
  </sheetViews>
  <sheetFormatPr defaultRowHeight="15" x14ac:dyDescent="0.25"/>
  <cols>
    <col min="1" max="1" width="11.7109375" customWidth="1"/>
    <col min="2" max="2" width="11.28515625" bestFit="1" customWidth="1"/>
    <col min="3" max="3" width="7.5703125" customWidth="1"/>
    <col min="4" max="4" width="9.5703125" customWidth="1"/>
    <col min="5" max="5" width="11.42578125" bestFit="1" customWidth="1"/>
    <col min="6" max="6" width="10.28515625" customWidth="1"/>
    <col min="7" max="7" width="14.85546875" customWidth="1"/>
    <col min="8" max="8" width="12.140625" customWidth="1"/>
  </cols>
  <sheetData>
    <row r="2" spans="1:8" ht="21" x14ac:dyDescent="0.35">
      <c r="C2" s="113" t="s">
        <v>36</v>
      </c>
      <c r="D2" s="113"/>
      <c r="E2" s="113"/>
      <c r="F2" s="91"/>
      <c r="G2" s="91"/>
      <c r="H2" s="91"/>
    </row>
    <row r="4" spans="1:8" x14ac:dyDescent="0.25">
      <c r="E4" s="7"/>
      <c r="F4" s="110" t="s">
        <v>37</v>
      </c>
      <c r="G4" s="110"/>
      <c r="H4" s="7"/>
    </row>
    <row r="5" spans="1:8" ht="15" customHeight="1" x14ac:dyDescent="0.25">
      <c r="A5" s="81" t="s">
        <v>38</v>
      </c>
      <c r="B5" s="114"/>
      <c r="C5" s="114"/>
      <c r="E5" s="90" t="s">
        <v>6</v>
      </c>
      <c r="F5" s="111" t="s">
        <v>39</v>
      </c>
      <c r="G5" s="111"/>
      <c r="H5" s="111"/>
    </row>
    <row r="6" spans="1:8" x14ac:dyDescent="0.25">
      <c r="A6" s="81" t="s">
        <v>40</v>
      </c>
      <c r="B6" s="114" t="s">
        <v>41</v>
      </c>
      <c r="C6" s="114"/>
      <c r="E6" s="90" t="s">
        <v>9</v>
      </c>
      <c r="F6" s="111" t="s">
        <v>42</v>
      </c>
      <c r="G6" s="111"/>
      <c r="H6" s="111"/>
    </row>
    <row r="7" spans="1:8" x14ac:dyDescent="0.25">
      <c r="A7" s="81" t="s">
        <v>43</v>
      </c>
      <c r="B7" s="114"/>
      <c r="C7" s="114"/>
      <c r="E7" s="90" t="s">
        <v>12</v>
      </c>
      <c r="F7" s="111" t="s">
        <v>44</v>
      </c>
      <c r="G7" s="111"/>
      <c r="H7" s="111"/>
    </row>
    <row r="8" spans="1:8" x14ac:dyDescent="0.25">
      <c r="E8" s="90" t="s">
        <v>11</v>
      </c>
      <c r="F8" s="111" t="s">
        <v>45</v>
      </c>
      <c r="G8" s="111"/>
      <c r="H8" s="111"/>
    </row>
    <row r="9" spans="1:8" x14ac:dyDescent="0.25">
      <c r="E9" s="90" t="s">
        <v>14</v>
      </c>
      <c r="F9" s="111" t="s">
        <v>46</v>
      </c>
      <c r="G9" s="111"/>
      <c r="H9" s="111"/>
    </row>
    <row r="10" spans="1:8" x14ac:dyDescent="0.25">
      <c r="E10" s="90" t="s">
        <v>17</v>
      </c>
      <c r="F10" s="111" t="s">
        <v>47</v>
      </c>
      <c r="G10" s="111"/>
      <c r="H10" s="111"/>
    </row>
    <row r="12" spans="1:8" ht="15.75" x14ac:dyDescent="0.25">
      <c r="A12" s="112" t="s">
        <v>48</v>
      </c>
      <c r="B12" s="112"/>
      <c r="C12" s="112"/>
    </row>
    <row r="13" spans="1:8" ht="6" customHeight="1" x14ac:dyDescent="0.25"/>
    <row r="14" spans="1:8" x14ac:dyDescent="0.25">
      <c r="A14" s="81" t="s">
        <v>2</v>
      </c>
      <c r="B14" s="83" t="s">
        <v>49</v>
      </c>
      <c r="C14" s="83" t="s">
        <v>50</v>
      </c>
      <c r="D14" s="83" t="s">
        <v>51</v>
      </c>
      <c r="E14" s="82" t="s">
        <v>52</v>
      </c>
      <c r="F14" s="83" t="s">
        <v>53</v>
      </c>
      <c r="G14" s="109" t="s">
        <v>54</v>
      </c>
      <c r="H14" s="109"/>
    </row>
    <row r="15" spans="1:8" ht="15.75" x14ac:dyDescent="0.25">
      <c r="A15" s="86" t="s">
        <v>6</v>
      </c>
      <c r="B15" s="87">
        <f>COUNTIF(AUDITS!C4:C5008, "CAAK")</f>
        <v>2</v>
      </c>
      <c r="C15" s="83">
        <f>COUNTIFS(AUDITS!C:C, "CAAK",AUDITS!J:J, Open)</f>
        <v>1</v>
      </c>
      <c r="D15" s="83">
        <f>COUNTIFS(AUDITS!C:C, "CAAK",AUDITS!J:J, In_Progress)</f>
        <v>0</v>
      </c>
      <c r="E15" s="83"/>
      <c r="F15" s="83"/>
      <c r="G15" s="83"/>
      <c r="H15" s="83"/>
    </row>
    <row r="16" spans="1:8" ht="15.75" x14ac:dyDescent="0.25">
      <c r="A16" s="88" t="s">
        <v>9</v>
      </c>
      <c r="B16" s="89">
        <f>COUNTIF(AUDITS!C4:C5000, "HSSE")</f>
        <v>14</v>
      </c>
      <c r="C16" s="83"/>
      <c r="D16" s="83"/>
      <c r="E16" s="83"/>
      <c r="F16" s="83"/>
      <c r="G16" s="83"/>
      <c r="H16" s="83"/>
    </row>
    <row r="17" spans="1:8" ht="15.75" x14ac:dyDescent="0.25">
      <c r="A17" s="86" t="s">
        <v>12</v>
      </c>
      <c r="B17" s="87">
        <f>COUNTIF(AUDITS!C4:C5008, "SSC WB")</f>
        <v>12</v>
      </c>
      <c r="C17" s="83"/>
      <c r="D17" s="83"/>
      <c r="E17" s="83"/>
      <c r="F17" s="83"/>
      <c r="G17" s="83"/>
      <c r="H17" s="83"/>
    </row>
    <row r="18" spans="1:8" ht="15.75" x14ac:dyDescent="0.25">
      <c r="A18" s="88" t="s">
        <v>11</v>
      </c>
      <c r="B18" s="89">
        <f>COUNTIF(NMI!H4:H4961, "Nearmiss")</f>
        <v>47</v>
      </c>
      <c r="C18" s="83"/>
      <c r="D18" s="83"/>
      <c r="E18" s="83"/>
      <c r="F18" s="83"/>
      <c r="G18" s="83"/>
      <c r="H18" s="83"/>
    </row>
    <row r="19" spans="1:8" ht="15.75" x14ac:dyDescent="0.25">
      <c r="A19" s="86" t="s">
        <v>14</v>
      </c>
      <c r="B19" s="87">
        <f>COUNTIF(NMI!G12:G4961, "Incident")+COUNTA(IR!A2:A5000)</f>
        <v>10</v>
      </c>
      <c r="C19" s="83"/>
      <c r="D19" s="83"/>
      <c r="E19" s="83"/>
      <c r="F19" s="83"/>
      <c r="G19" s="83"/>
      <c r="H19" s="83"/>
    </row>
    <row r="20" spans="1:8" ht="15.75" x14ac:dyDescent="0.25">
      <c r="A20" s="88" t="s">
        <v>17</v>
      </c>
      <c r="B20" s="89">
        <f>COUNTIF(AUDITS!C4:C5008, "LOD3 E.Insp")</f>
        <v>5</v>
      </c>
      <c r="C20" s="83"/>
      <c r="D20" s="83"/>
      <c r="E20" s="83"/>
      <c r="F20" s="83"/>
      <c r="G20" s="83"/>
      <c r="H20" s="83"/>
    </row>
  </sheetData>
  <mergeCells count="13">
    <mergeCell ref="A12:C12"/>
    <mergeCell ref="C2:E2"/>
    <mergeCell ref="B5:C5"/>
    <mergeCell ref="B6:C6"/>
    <mergeCell ref="B7:C7"/>
    <mergeCell ref="G14:H14"/>
    <mergeCell ref="F4:G4"/>
    <mergeCell ref="F5:H5"/>
    <mergeCell ref="F6:H6"/>
    <mergeCell ref="F7:H7"/>
    <mergeCell ref="F8:H8"/>
    <mergeCell ref="F9:H9"/>
    <mergeCell ref="F10:H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91E4-0194-4DB4-A644-09E4F992ED3A}">
  <sheetPr>
    <tabColor rgb="FF92D050"/>
  </sheetPr>
  <dimension ref="B1:T35"/>
  <sheetViews>
    <sheetView showGridLines="0" view="pageBreakPreview" topLeftCell="A5" zoomScale="181" zoomScaleNormal="145" zoomScaleSheetLayoutView="145" workbookViewId="0">
      <selection activeCell="E26" sqref="E26"/>
    </sheetView>
  </sheetViews>
  <sheetFormatPr defaultRowHeight="15" x14ac:dyDescent="0.25"/>
  <cols>
    <col min="3" max="3" width="6.140625" customWidth="1"/>
    <col min="4" max="4" width="17.7109375" bestFit="1" customWidth="1"/>
    <col min="5" max="5" width="17" customWidth="1"/>
    <col min="6" max="6" width="7.28515625" customWidth="1"/>
    <col min="9" max="9" width="4" customWidth="1"/>
    <col min="16" max="16" width="18.5703125" hidden="1" customWidth="1"/>
    <col min="17" max="17" width="9.7109375" hidden="1" customWidth="1"/>
    <col min="18" max="20" width="9.140625" hidden="1" customWidth="1"/>
  </cols>
  <sheetData>
    <row r="1" spans="2:20" x14ac:dyDescent="0.25">
      <c r="G1" s="63" t="s">
        <v>55</v>
      </c>
      <c r="H1" s="78" t="s">
        <v>56</v>
      </c>
    </row>
    <row r="2" spans="2:20" x14ac:dyDescent="0.25">
      <c r="F2" s="46"/>
      <c r="G2" s="4"/>
    </row>
    <row r="3" spans="2:20" ht="8.25" customHeight="1" x14ac:dyDescent="0.25">
      <c r="F3" s="46"/>
      <c r="G3" s="4"/>
    </row>
    <row r="4" spans="2:20" ht="20.25" customHeight="1" x14ac:dyDescent="0.3">
      <c r="C4" s="116" t="s">
        <v>57</v>
      </c>
      <c r="D4" s="116"/>
      <c r="E4" s="116"/>
      <c r="F4" s="116"/>
      <c r="S4" t="s">
        <v>29</v>
      </c>
      <c r="T4" t="s">
        <v>58</v>
      </c>
    </row>
    <row r="5" spans="2:20" ht="21" customHeight="1" thickBot="1" x14ac:dyDescent="0.35">
      <c r="D5" s="80" t="s">
        <v>59</v>
      </c>
      <c r="E5" s="79" t="s">
        <v>60</v>
      </c>
      <c r="H5" s="3"/>
      <c r="I5" s="3"/>
      <c r="J5" s="3"/>
      <c r="K5" s="3"/>
      <c r="L5" s="3"/>
      <c r="M5" s="3"/>
      <c r="N5" s="3"/>
      <c r="O5" s="3"/>
      <c r="P5" t="s">
        <v>61</v>
      </c>
      <c r="Q5" s="41">
        <f>IF(E5="","",VLOOKUP(E5,Months,2,0))</f>
        <v>45839</v>
      </c>
      <c r="S5" t="s">
        <v>62</v>
      </c>
      <c r="T5" s="45">
        <v>45658</v>
      </c>
    </row>
    <row r="6" spans="2:20" ht="19.5" customHeight="1" x14ac:dyDescent="0.3">
      <c r="B6" s="66" t="s">
        <v>63</v>
      </c>
      <c r="C6" s="117">
        <f ca="1">TODAY()</f>
        <v>45985</v>
      </c>
      <c r="D6" s="118"/>
      <c r="E6" s="42"/>
      <c r="H6" s="3"/>
      <c r="I6" s="3"/>
      <c r="J6" s="3"/>
      <c r="K6" s="3"/>
      <c r="L6" s="3"/>
      <c r="M6" s="3"/>
      <c r="N6" s="3"/>
      <c r="O6" s="3"/>
      <c r="Q6" s="41"/>
      <c r="T6" s="45"/>
    </row>
    <row r="7" spans="2:20" ht="4.5" customHeight="1" x14ac:dyDescent="0.25">
      <c r="B7" s="115" t="s">
        <v>64</v>
      </c>
      <c r="C7" s="115"/>
      <c r="D7" s="115"/>
      <c r="E7" s="115"/>
      <c r="F7" s="115"/>
      <c r="G7" s="115"/>
      <c r="H7" s="3"/>
      <c r="I7" s="3"/>
      <c r="J7" s="3"/>
      <c r="K7" s="3"/>
      <c r="L7" s="3"/>
      <c r="M7" s="3"/>
      <c r="N7" s="3"/>
      <c r="O7" s="3"/>
      <c r="P7" t="s">
        <v>65</v>
      </c>
      <c r="Q7" s="41">
        <f>IF(Q5="","",EOMONTH(Q5, 0))</f>
        <v>45869</v>
      </c>
      <c r="S7" t="s">
        <v>66</v>
      </c>
      <c r="T7" s="45">
        <v>45689</v>
      </c>
    </row>
    <row r="8" spans="2:20" ht="11.25" customHeight="1" x14ac:dyDescent="0.25">
      <c r="B8" s="115"/>
      <c r="C8" s="115"/>
      <c r="D8" s="115"/>
      <c r="E8" s="115"/>
      <c r="F8" s="115"/>
      <c r="G8" s="115"/>
      <c r="H8" s="3"/>
      <c r="I8" s="3"/>
      <c r="J8" s="3"/>
      <c r="K8" s="3"/>
      <c r="L8" s="3"/>
      <c r="M8" s="3"/>
      <c r="N8" s="3"/>
      <c r="O8" s="3"/>
      <c r="Q8" s="41"/>
      <c r="T8" s="45"/>
    </row>
    <row r="9" spans="2:20" ht="11.25" customHeight="1" x14ac:dyDescent="0.25">
      <c r="B9" s="115"/>
      <c r="C9" s="115"/>
      <c r="D9" s="115"/>
      <c r="E9" s="115"/>
      <c r="F9" s="115"/>
      <c r="G9" s="115"/>
      <c r="H9" s="3"/>
      <c r="I9" s="3"/>
      <c r="J9" s="3"/>
      <c r="K9" s="3"/>
      <c r="L9" s="3"/>
      <c r="M9" s="3"/>
      <c r="N9" s="3"/>
      <c r="O9" s="3"/>
      <c r="Q9" s="41"/>
      <c r="T9" s="45"/>
    </row>
    <row r="10" spans="2:20" ht="11.25" customHeight="1" x14ac:dyDescent="0.25">
      <c r="B10" s="115"/>
      <c r="C10" s="115"/>
      <c r="D10" s="115"/>
      <c r="E10" s="115"/>
      <c r="F10" s="115"/>
      <c r="G10" s="115"/>
      <c r="H10" s="3"/>
      <c r="I10" s="3"/>
      <c r="J10" s="3"/>
      <c r="K10" s="3"/>
      <c r="L10" s="3"/>
      <c r="M10" s="3"/>
      <c r="N10" s="3"/>
      <c r="O10" s="3"/>
      <c r="Q10" s="41"/>
      <c r="T10" s="45"/>
    </row>
    <row r="11" spans="2:20" ht="11.25" customHeight="1" x14ac:dyDescent="0.25">
      <c r="B11" s="115"/>
      <c r="C11" s="115"/>
      <c r="D11" s="115"/>
      <c r="E11" s="115"/>
      <c r="F11" s="115"/>
      <c r="G11" s="115"/>
      <c r="H11" s="3"/>
      <c r="I11" s="3"/>
      <c r="J11" s="3"/>
      <c r="K11" s="3"/>
      <c r="L11" s="3"/>
      <c r="M11" s="3"/>
      <c r="N11" s="3"/>
      <c r="O11" s="3"/>
      <c r="Q11" s="41"/>
      <c r="T11" s="45"/>
    </row>
    <row r="12" spans="2:20" ht="18" thickBot="1" x14ac:dyDescent="0.35">
      <c r="C12" s="104" t="s">
        <v>67</v>
      </c>
      <c r="D12" s="104"/>
      <c r="E12" s="104"/>
      <c r="F12" s="104"/>
      <c r="H12" s="3"/>
      <c r="I12" s="3"/>
      <c r="J12" s="3"/>
      <c r="K12" s="3"/>
      <c r="L12" s="3"/>
      <c r="M12" s="3"/>
      <c r="N12" s="3"/>
      <c r="O12" s="3"/>
      <c r="S12" t="s">
        <v>68</v>
      </c>
      <c r="T12" s="45">
        <v>45717</v>
      </c>
    </row>
    <row r="13" spans="2:20" ht="4.5" customHeight="1" thickTop="1" x14ac:dyDescent="0.25">
      <c r="C13" s="58"/>
      <c r="D13" s="58"/>
      <c r="E13" s="58"/>
      <c r="F13" s="58"/>
      <c r="H13" s="3"/>
      <c r="I13" s="3"/>
      <c r="J13" s="3"/>
      <c r="K13" s="3"/>
      <c r="L13" s="3"/>
      <c r="M13" s="3"/>
      <c r="N13" s="3"/>
      <c r="O13" s="3"/>
      <c r="T13" s="45"/>
    </row>
    <row r="14" spans="2:20" x14ac:dyDescent="0.25">
      <c r="C14">
        <f>IF(D14="","",ROW(C1))</f>
        <v>1</v>
      </c>
      <c r="D14" s="5" t="str" cm="1">
        <f t="array" ref="D14:D24">_xlfn._xlws.FILTER(
  _xlfn.UNIQUE(
    _xlfn._xlws.FILTER(
      NMI!D2:D953,
      (NMI!H2:H953="Nearmiss") *
      (NMI!B2:B953&gt;=$Q$5) *
      (NMI!B2:B953&lt;=$Q$7)
    )
  ),
  (
    COUNTIFS(
      NMI!D:D,
      _xlfn.UNIQUE(
        _xlfn._xlws.FILTER(
          NMI!D2:D953,
          (NMI!H2:H953="Nearmiss") *
          (NMI!B2:B953&gt;=$Q$5) *
          (NMI!B2:B953&lt;=$Q$7)
        )
      ),
      NMI!H:H, "Nearmiss",
      NMI!B:B, "&gt;=" &amp; $Q$5,
      NMI!B:B, "&lt;=" &amp; $Q$7
    ) &gt; 0
  )
)</f>
        <v>Baremau</v>
      </c>
      <c r="E14" s="5">
        <f>IF(D14="","",COUNTIFS(NMI!D:D, D14,NMI!H:H, "Nearmiss", NMI!B:B, "&gt;=" &amp; $Q$5, NMI!B:B, "&lt;=" &amp; $Q$7))</f>
        <v>5</v>
      </c>
      <c r="H14" s="13"/>
      <c r="I14" s="13"/>
      <c r="J14" s="13"/>
      <c r="K14" s="13"/>
      <c r="L14" s="13"/>
      <c r="M14" s="13"/>
      <c r="N14" s="13"/>
      <c r="O14" s="13"/>
      <c r="S14" t="s">
        <v>69</v>
      </c>
      <c r="T14" s="45">
        <v>45748</v>
      </c>
    </row>
    <row r="15" spans="2:20" x14ac:dyDescent="0.25">
      <c r="C15">
        <f t="shared" ref="C15:C35" si="0">IF(D15="","",ROW(C2))</f>
        <v>2</v>
      </c>
      <c r="D15" s="5" t="str">
        <v>Bwabwaku</v>
      </c>
      <c r="E15" s="5">
        <f>IF(D15="","",COUNTIFS(NMI!D:D, D15,NMI!H:H, "Nearmiss", NMI!B:B, "&gt;=" &amp; $Q$5, NMI!B:B, "&lt;=" &amp; $Q$7))</f>
        <v>2</v>
      </c>
      <c r="H15" s="13"/>
      <c r="I15" s="13"/>
      <c r="J15" s="13"/>
      <c r="K15" s="13"/>
      <c r="L15" s="13"/>
      <c r="M15" s="13"/>
      <c r="N15" s="13"/>
      <c r="O15" s="13"/>
      <c r="S15" t="s">
        <v>35</v>
      </c>
      <c r="T15" s="45">
        <v>45778</v>
      </c>
    </row>
    <row r="16" spans="2:20" x14ac:dyDescent="0.25">
      <c r="C16">
        <f t="shared" si="0"/>
        <v>3</v>
      </c>
      <c r="D16" s="5" t="str">
        <v>Kakianako</v>
      </c>
      <c r="E16" s="5">
        <f>IF(D16="","",COUNTIFS(NMI!D:D, D16,NMI!H:H, "Nearmiss", NMI!B:B, "&gt;=" &amp; $Q$5, NMI!B:B, "&lt;=" &amp; $Q$7))</f>
        <v>1</v>
      </c>
      <c r="H16" s="13"/>
      <c r="I16" s="13"/>
      <c r="J16" s="13"/>
      <c r="K16" s="13"/>
      <c r="L16" s="13"/>
      <c r="M16" s="13"/>
      <c r="N16" s="13"/>
      <c r="O16" s="13"/>
      <c r="S16" t="s">
        <v>70</v>
      </c>
      <c r="T16" s="45">
        <v>45809</v>
      </c>
    </row>
    <row r="17" spans="3:20" x14ac:dyDescent="0.25">
      <c r="C17">
        <f t="shared" si="0"/>
        <v>4</v>
      </c>
      <c r="D17" s="5" t="str">
        <v>Kimwaere</v>
      </c>
      <c r="E17" s="5">
        <f>IF(D17="","",COUNTIFS(NMI!D:D, D17,NMI!H:H, "Nearmiss", NMI!B:B, "&gt;=" &amp; $Q$5, NMI!B:B, "&lt;=" &amp; $Q$7))</f>
        <v>2</v>
      </c>
      <c r="H17" s="13"/>
      <c r="I17" s="13"/>
      <c r="J17" s="13"/>
      <c r="K17" s="13"/>
      <c r="L17" s="13"/>
      <c r="M17" s="13"/>
      <c r="N17" s="13"/>
      <c r="O17" s="13"/>
      <c r="S17" t="s">
        <v>60</v>
      </c>
      <c r="T17" s="45">
        <v>45839</v>
      </c>
    </row>
    <row r="18" spans="3:20" x14ac:dyDescent="0.25">
      <c r="C18">
        <f t="shared" si="0"/>
        <v>5</v>
      </c>
      <c r="D18" s="5" t="str">
        <v>Teibouri</v>
      </c>
      <c r="E18" s="5">
        <f>IF(D18="","",COUNTIFS(NMI!D:D, D18,NMI!H:H, "Nearmiss", NMI!B:B, "&gt;=" &amp; $Q$5, NMI!B:B, "&lt;=" &amp; $Q$7))</f>
        <v>2</v>
      </c>
      <c r="S18" t="s">
        <v>71</v>
      </c>
      <c r="T18" s="45">
        <v>45870</v>
      </c>
    </row>
    <row r="19" spans="3:20" x14ac:dyDescent="0.25">
      <c r="C19">
        <f t="shared" si="0"/>
        <v>6</v>
      </c>
      <c r="D19" s="5" t="str">
        <v>Tekaaibuti</v>
      </c>
      <c r="E19" s="5">
        <f>IF(D19="","",COUNTIFS(NMI!D:D, D19,NMI!H:H, "Nearmiss", NMI!B:B, "&gt;=" &amp; $Q$5, NMI!B:B, "&lt;=" &amp; $Q$7))</f>
        <v>1</v>
      </c>
      <c r="S19" t="s">
        <v>72</v>
      </c>
      <c r="T19" s="45">
        <v>45901</v>
      </c>
    </row>
    <row r="20" spans="3:20" x14ac:dyDescent="0.25">
      <c r="C20">
        <f t="shared" si="0"/>
        <v>7</v>
      </c>
      <c r="D20" s="5" t="str">
        <v>Tiare</v>
      </c>
      <c r="E20" s="5">
        <f>IF(D20="","",COUNTIFS(NMI!D:D, D20,NMI!H:H, "Nearmiss", NMI!B:B, "&gt;=" &amp; $Q$5, NMI!B:B, "&lt;=" &amp; $Q$7))</f>
        <v>2</v>
      </c>
      <c r="S20" t="s">
        <v>73</v>
      </c>
      <c r="T20" s="45">
        <v>45931</v>
      </c>
    </row>
    <row r="21" spans="3:20" x14ac:dyDescent="0.25">
      <c r="C21">
        <f t="shared" si="0"/>
        <v>8</v>
      </c>
      <c r="D21" s="5" t="str">
        <v>Tiiroa</v>
      </c>
      <c r="E21" s="5">
        <f>IF(D21="","",COUNTIFS(NMI!D:D, D21,NMI!H:H, "Nearmiss", NMI!B:B, "&gt;=" &amp; $Q$5, NMI!B:B, "&lt;=" &amp; $Q$7))</f>
        <v>2</v>
      </c>
      <c r="S21" t="s">
        <v>74</v>
      </c>
      <c r="T21" s="45">
        <v>45962</v>
      </c>
    </row>
    <row r="22" spans="3:20" x14ac:dyDescent="0.25">
      <c r="C22">
        <f t="shared" si="0"/>
        <v>9</v>
      </c>
      <c r="D22" s="5" t="str">
        <v>Tukuaho</v>
      </c>
      <c r="E22" s="5">
        <f>IF(D22="","",COUNTIFS(NMI!D:D, D22,NMI!H:H, "Nearmiss", NMI!B:B, "&gt;=" &amp; $Q$5, NMI!B:B, "&lt;=" &amp; $Q$7))</f>
        <v>1</v>
      </c>
      <c r="S22" s="43" t="s">
        <v>75</v>
      </c>
      <c r="T22" s="44">
        <v>45992</v>
      </c>
    </row>
    <row r="23" spans="3:20" x14ac:dyDescent="0.25">
      <c r="C23">
        <f t="shared" si="0"/>
        <v>10</v>
      </c>
      <c r="D23" s="5" t="str">
        <v>William</v>
      </c>
      <c r="E23" s="5">
        <f>IF(D23="","",COUNTIFS(NMI!D:D, D23,NMI!H:H, "Nearmiss", NMI!B:B, "&gt;=" &amp; $Q$5, NMI!B:B, "&lt;=" &amp; $Q$7))</f>
        <v>1</v>
      </c>
    </row>
    <row r="24" spans="3:20" x14ac:dyDescent="0.25">
      <c r="C24">
        <f t="shared" si="0"/>
        <v>11</v>
      </c>
      <c r="D24" s="5" t="str">
        <v>Aratite</v>
      </c>
      <c r="E24" s="5">
        <f>IF(D24="","",COUNTIFS(NMI!D:D, D24,NMI!H:H, "Nearmiss", NMI!B:B, "&gt;=" &amp; $Q$5, NMI!B:B, "&lt;=" &amp; $Q$7))</f>
        <v>2</v>
      </c>
    </row>
    <row r="25" spans="3:20" x14ac:dyDescent="0.25">
      <c r="C25" t="str">
        <f t="shared" si="0"/>
        <v/>
      </c>
      <c r="D25" s="5"/>
      <c r="E25" s="5" t="str">
        <f>IF(D25="","",COUNTIFS(NMI!D:D, D25,NMI!H:H, "Nearmiss", NMI!B:B, "&gt;=" &amp; $Q$5, NMI!B:B, "&lt;=" &amp; $Q$7))</f>
        <v/>
      </c>
    </row>
    <row r="26" spans="3:20" x14ac:dyDescent="0.25">
      <c r="C26" t="str">
        <f t="shared" si="0"/>
        <v/>
      </c>
      <c r="D26" s="5"/>
      <c r="E26" s="5" t="str">
        <f>IF(D26="","",COUNTIFS(NMI!D:D, D26,NMI!H:H, "Nearmiss", NMI!B:B, "&gt;=" &amp; $Q$5, NMI!B:B, "&lt;=" &amp; $Q$7))</f>
        <v/>
      </c>
    </row>
    <row r="27" spans="3:20" x14ac:dyDescent="0.25">
      <c r="C27" t="str">
        <f t="shared" si="0"/>
        <v/>
      </c>
      <c r="D27" s="5"/>
      <c r="E27" s="5" t="str">
        <f>IF(D27="","",COUNTIFS(NMI!D:D, D27,NMI!H:H, "Nearmiss", NMI!B:B, "&gt;=" &amp; $Q$5, NMI!B:B, "&lt;=" &amp; $Q$7))</f>
        <v/>
      </c>
    </row>
    <row r="28" spans="3:20" x14ac:dyDescent="0.25">
      <c r="C28" t="str">
        <f t="shared" si="0"/>
        <v/>
      </c>
      <c r="D28" s="5"/>
      <c r="E28" s="5" t="str">
        <f>IF(D28="","",COUNTIFS(NMI!D:D, D28,NMI!H:H, "Nearmiss", NMI!B:B, "&gt;=" &amp; $Q$5, NMI!B:B, "&lt;=" &amp; $Q$7))</f>
        <v/>
      </c>
    </row>
    <row r="29" spans="3:20" x14ac:dyDescent="0.25">
      <c r="C29" t="str">
        <f t="shared" si="0"/>
        <v/>
      </c>
      <c r="D29" s="5"/>
      <c r="E29" s="5" t="str">
        <f>IF(D29="","",COUNTIFS(NMI!D:D, D29,NMI!H:H, "Nearmiss", NMI!B:B, "&gt;=" &amp; $Q$5, NMI!B:B, "&lt;=" &amp; $Q$7))</f>
        <v/>
      </c>
    </row>
    <row r="30" spans="3:20" x14ac:dyDescent="0.25">
      <c r="C30" t="str">
        <f t="shared" si="0"/>
        <v/>
      </c>
      <c r="D30" s="5"/>
      <c r="E30" s="5" t="str">
        <f>IF(D30="","",COUNTIFS(NMI!D:D, D30,NMI!H:H, "Nearmiss", NMI!B:B, "&gt;=" &amp; $Q$5, NMI!B:B, "&lt;=" &amp; $Q$7))</f>
        <v/>
      </c>
    </row>
    <row r="31" spans="3:20" x14ac:dyDescent="0.25">
      <c r="C31" t="str">
        <f t="shared" si="0"/>
        <v/>
      </c>
      <c r="D31" s="5"/>
      <c r="E31" s="5" t="str">
        <f>IF(D31="","",COUNTIFS(NMI!D:D, D31,NMI!H:H, "Nearmiss", NMI!B:B, "&gt;=" &amp; $Q$5, NMI!B:B, "&lt;=" &amp; $Q$7))</f>
        <v/>
      </c>
    </row>
    <row r="32" spans="3:20" x14ac:dyDescent="0.25">
      <c r="C32" t="str">
        <f t="shared" si="0"/>
        <v/>
      </c>
      <c r="D32" s="5"/>
      <c r="E32" s="5" t="str">
        <f>IF(D32="","",COUNTIFS(NMI!D:D, D32,NMI!H:H, "Nearmiss", NMI!B:B, "&gt;=" &amp; $Q$5, NMI!B:B, "&lt;=" &amp; $Q$7))</f>
        <v/>
      </c>
    </row>
    <row r="33" spans="3:5" x14ac:dyDescent="0.25">
      <c r="C33" t="str">
        <f t="shared" si="0"/>
        <v/>
      </c>
      <c r="D33" s="5"/>
      <c r="E33" s="5" t="str">
        <f>IF(D33="","",COUNTIFS(NMI!D:D, D33,NMI!H:H, "Nearmiss", NMI!B:B, "&gt;=" &amp; $Q$5, NMI!B:B, "&lt;=" &amp; $Q$7))</f>
        <v/>
      </c>
    </row>
    <row r="34" spans="3:5" x14ac:dyDescent="0.25">
      <c r="C34" t="str">
        <f t="shared" si="0"/>
        <v/>
      </c>
      <c r="D34" s="5"/>
      <c r="E34" s="5" t="str">
        <f>IF(D34="","",COUNTIFS(NMI!D:D, D34,NMI!H:H, "Nearmiss", NMI!B:B, "&gt;=" &amp; $Q$5, NMI!B:B, "&lt;=" &amp; $Q$7))</f>
        <v/>
      </c>
    </row>
    <row r="35" spans="3:5" x14ac:dyDescent="0.25">
      <c r="C35" t="str">
        <f t="shared" si="0"/>
        <v/>
      </c>
      <c r="D35" s="5"/>
      <c r="E35" s="5" t="str">
        <f>IF(D35="","",COUNTIFS(NMI!D:D, D35,NMI!H:H, "Nearmiss", NMI!B:B, "&gt;=" &amp; $Q$5, NMI!B:B, "&lt;=" &amp; $Q$7))</f>
        <v/>
      </c>
    </row>
  </sheetData>
  <sheetProtection formatCells="0" formatColumns="0"/>
  <mergeCells count="4">
    <mergeCell ref="B7:G11"/>
    <mergeCell ref="C4:F4"/>
    <mergeCell ref="C12:F12"/>
    <mergeCell ref="C6:D6"/>
  </mergeCells>
  <phoneticPr fontId="27" type="noConversion"/>
  <conditionalFormatting sqref="D14:E35">
    <cfRule type="notContainsBlanks" dxfId="0" priority="3">
      <formula>LEN(TRIM(D14))&gt;0</formula>
    </cfRule>
  </conditionalFormatting>
  <pageMargins left="0.25" right="0.25" top="0.75" bottom="0.75" header="0.3" footer="0.3"/>
  <pageSetup scale="110" orientation="portrait" r:id="rId1"/>
  <headerFooter>
    <oddFooter>&amp;LPlease proceed with the payment of $10.00 to each of the staff members listed in the Near Miss Participation Report, in recognition of their contributions to workplace safety through active participation in Near Miss reporting.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1DC1-7148-4033-BC59-E892151B7C6D}">
  <sheetPr>
    <tabColor rgb="FF00B0F0"/>
    <pageSetUpPr fitToPage="1"/>
  </sheetPr>
  <dimension ref="A1:P37"/>
  <sheetViews>
    <sheetView showGridLines="0" topLeftCell="I30" zoomScale="136" zoomScaleNormal="130" workbookViewId="0">
      <selection activeCell="A18" sqref="A18"/>
    </sheetView>
  </sheetViews>
  <sheetFormatPr defaultRowHeight="15" x14ac:dyDescent="0.25"/>
  <cols>
    <col min="2" max="2" width="14.85546875" style="5" customWidth="1"/>
    <col min="3" max="3" width="11.5703125" customWidth="1"/>
    <col min="4" max="4" width="11.5703125" style="5" customWidth="1"/>
    <col min="5" max="5" width="26.7109375" bestFit="1" customWidth="1"/>
    <col min="6" max="6" width="48.28515625" bestFit="1" customWidth="1"/>
    <col min="7" max="7" width="28.7109375" customWidth="1"/>
    <col min="8" max="8" width="34.28515625" style="13" customWidth="1"/>
    <col min="9" max="9" width="23.85546875" customWidth="1"/>
    <col min="10" max="10" width="10.85546875" bestFit="1" customWidth="1"/>
    <col min="11" max="11" width="15.140625" style="14" customWidth="1"/>
    <col min="12" max="13" width="15" customWidth="1"/>
    <col min="14" max="14" width="11.42578125" bestFit="1" customWidth="1"/>
    <col min="15" max="15" width="9.140625" hidden="1" customWidth="1"/>
    <col min="16" max="16" width="37" customWidth="1"/>
  </cols>
  <sheetData>
    <row r="1" spans="1:16" x14ac:dyDescent="0.25">
      <c r="F1" s="119" t="s">
        <v>76</v>
      </c>
      <c r="G1" s="119"/>
      <c r="H1" s="119"/>
    </row>
    <row r="2" spans="1:16" ht="18.75" customHeight="1" x14ac:dyDescent="0.25">
      <c r="F2" s="119"/>
      <c r="G2" s="119"/>
      <c r="H2" s="119"/>
    </row>
    <row r="3" spans="1:16" ht="30" customHeight="1" x14ac:dyDescent="0.25">
      <c r="A3" s="29" t="s">
        <v>77</v>
      </c>
      <c r="B3" s="30" t="s">
        <v>78</v>
      </c>
      <c r="C3" s="29" t="s">
        <v>2</v>
      </c>
      <c r="D3" s="30" t="s">
        <v>79</v>
      </c>
      <c r="E3" s="29" t="s">
        <v>80</v>
      </c>
      <c r="F3" s="29" t="s">
        <v>30</v>
      </c>
      <c r="G3" s="29" t="s">
        <v>81</v>
      </c>
      <c r="H3" s="31" t="s">
        <v>82</v>
      </c>
      <c r="I3" s="29" t="s">
        <v>83</v>
      </c>
      <c r="J3" s="29" t="s">
        <v>84</v>
      </c>
      <c r="K3" s="32" t="s">
        <v>85</v>
      </c>
      <c r="L3" s="29" t="s">
        <v>86</v>
      </c>
      <c r="M3" s="29" t="s">
        <v>87</v>
      </c>
      <c r="N3" s="29" t="s">
        <v>88</v>
      </c>
      <c r="O3" s="29" t="s">
        <v>29</v>
      </c>
      <c r="P3" s="29"/>
    </row>
    <row r="4" spans="1:16" ht="30" hidden="1" x14ac:dyDescent="0.25">
      <c r="A4" s="4">
        <f>IF((Table1[[#This Row],[Audit Date]]=""),"",ROW(A1))</f>
        <v>1</v>
      </c>
      <c r="B4" s="6">
        <v>45793</v>
      </c>
      <c r="C4" s="2" t="s">
        <v>6</v>
      </c>
      <c r="D4" s="4">
        <v>17</v>
      </c>
      <c r="E4" s="1" t="s">
        <v>89</v>
      </c>
      <c r="F4" s="3" t="s">
        <v>90</v>
      </c>
      <c r="G4" s="3" t="s">
        <v>91</v>
      </c>
      <c r="H4" s="3" t="s">
        <v>92</v>
      </c>
      <c r="I4" s="1" t="s">
        <v>93</v>
      </c>
      <c r="J4" s="1" t="s">
        <v>94</v>
      </c>
      <c r="K4" s="34">
        <v>45868</v>
      </c>
      <c r="L4" s="27">
        <v>0.25</v>
      </c>
      <c r="M4" s="35"/>
      <c r="N4" s="1" t="s">
        <v>95</v>
      </c>
      <c r="O4" s="1" t="str">
        <f>TEXT(Table1[[#This Row],[Audit Date]],"mmm")</f>
        <v>May</v>
      </c>
      <c r="P4" s="1"/>
    </row>
    <row r="5" spans="1:16" ht="30" hidden="1" x14ac:dyDescent="0.25">
      <c r="A5" s="4">
        <f>IF((Table1[[#This Row],[Audit Date]]=""),"",ROW(A2))</f>
        <v>2</v>
      </c>
      <c r="B5" s="6">
        <v>45793</v>
      </c>
      <c r="C5" s="2" t="s">
        <v>6</v>
      </c>
      <c r="D5" s="4">
        <v>0</v>
      </c>
      <c r="E5" s="1" t="s">
        <v>96</v>
      </c>
      <c r="F5" s="3" t="s">
        <v>97</v>
      </c>
      <c r="G5" s="3" t="s">
        <v>98</v>
      </c>
      <c r="H5" s="3" t="s">
        <v>99</v>
      </c>
      <c r="I5" s="1" t="s">
        <v>100</v>
      </c>
      <c r="J5" s="1" t="s">
        <v>50</v>
      </c>
      <c r="K5" s="34" t="s">
        <v>101</v>
      </c>
      <c r="L5" s="27"/>
      <c r="M5" s="35"/>
      <c r="N5" s="1" t="s">
        <v>95</v>
      </c>
      <c r="O5" s="1" t="str">
        <f>TEXT(Table1[[#This Row],[Audit Date]],"mmm")</f>
        <v>May</v>
      </c>
      <c r="P5" s="1"/>
    </row>
    <row r="6" spans="1:16" ht="60" hidden="1" x14ac:dyDescent="0.25">
      <c r="A6" s="4">
        <f>IF((Table1[[#This Row],[Audit Date]]=""),"",ROW(A3))</f>
        <v>3</v>
      </c>
      <c r="B6" s="6">
        <v>45792</v>
      </c>
      <c r="C6" s="2" t="s">
        <v>9</v>
      </c>
      <c r="D6" s="4">
        <v>0</v>
      </c>
      <c r="E6" s="1" t="s">
        <v>96</v>
      </c>
      <c r="F6" s="3" t="s">
        <v>102</v>
      </c>
      <c r="G6" s="3" t="s">
        <v>103</v>
      </c>
      <c r="H6" s="3" t="s">
        <v>104</v>
      </c>
      <c r="I6" s="1" t="s">
        <v>9</v>
      </c>
      <c r="J6" s="1" t="s">
        <v>94</v>
      </c>
      <c r="K6" s="34">
        <v>45807</v>
      </c>
      <c r="L6" s="27">
        <v>1</v>
      </c>
      <c r="M6" s="35"/>
      <c r="N6" s="1" t="s">
        <v>105</v>
      </c>
      <c r="O6" s="1" t="str">
        <f>TEXT(Table1[[#This Row],[Audit Date]],"mmm")</f>
        <v>May</v>
      </c>
      <c r="P6" s="1"/>
    </row>
    <row r="7" spans="1:16" ht="45" hidden="1" x14ac:dyDescent="0.25">
      <c r="A7" s="4">
        <f>IF((Table1[[#This Row],[Audit Date]]=""),"",ROW(A4))</f>
        <v>4</v>
      </c>
      <c r="B7" s="6">
        <v>45806</v>
      </c>
      <c r="C7" s="2" t="s">
        <v>9</v>
      </c>
      <c r="D7" s="4">
        <v>11</v>
      </c>
      <c r="E7" s="1" t="s">
        <v>106</v>
      </c>
      <c r="F7" s="3" t="s">
        <v>107</v>
      </c>
      <c r="G7" s="3" t="s">
        <v>108</v>
      </c>
      <c r="H7" s="3" t="s">
        <v>109</v>
      </c>
      <c r="I7" s="1" t="s">
        <v>110</v>
      </c>
      <c r="J7" s="1" t="s">
        <v>50</v>
      </c>
      <c r="K7" s="34">
        <v>45863</v>
      </c>
      <c r="L7" s="27"/>
      <c r="M7" s="35"/>
      <c r="N7" s="1" t="s">
        <v>105</v>
      </c>
      <c r="O7" s="1" t="str">
        <f>TEXT(Table1[[#This Row],[Audit Date]],"mmm")</f>
        <v>May</v>
      </c>
      <c r="P7" s="1"/>
    </row>
    <row r="8" spans="1:16" ht="30" hidden="1" x14ac:dyDescent="0.25">
      <c r="A8" s="4">
        <f>IF((Table1[[#This Row],[Audit Date]]=""),"",ROW(A5))</f>
        <v>5</v>
      </c>
      <c r="B8" s="6">
        <v>45806</v>
      </c>
      <c r="C8" s="2" t="s">
        <v>9</v>
      </c>
      <c r="D8" s="4">
        <v>0.1</v>
      </c>
      <c r="E8" s="1" t="s">
        <v>106</v>
      </c>
      <c r="F8" s="3" t="s">
        <v>111</v>
      </c>
      <c r="G8" s="3" t="s">
        <v>112</v>
      </c>
      <c r="H8" s="3" t="s">
        <v>113</v>
      </c>
      <c r="I8" s="1" t="s">
        <v>114</v>
      </c>
      <c r="J8" s="1" t="s">
        <v>50</v>
      </c>
      <c r="K8" s="34">
        <v>45869</v>
      </c>
      <c r="L8" s="27">
        <v>0</v>
      </c>
      <c r="M8" s="35"/>
      <c r="N8" s="1" t="s">
        <v>115</v>
      </c>
      <c r="O8" s="1" t="str">
        <f>TEXT(Table1[[#This Row],[Audit Date]],"mmm")</f>
        <v>May</v>
      </c>
      <c r="P8" s="1"/>
    </row>
    <row r="9" spans="1:16" ht="30" hidden="1" x14ac:dyDescent="0.25">
      <c r="A9" s="4">
        <f>IF((Table1[[#This Row],[Audit Date]]=""),"",ROW(A6))</f>
        <v>6</v>
      </c>
      <c r="B9" s="6">
        <v>45818</v>
      </c>
      <c r="C9" s="2" t="s">
        <v>9</v>
      </c>
      <c r="D9" s="4">
        <v>15</v>
      </c>
      <c r="E9" s="1" t="s">
        <v>116</v>
      </c>
      <c r="F9" s="3" t="s">
        <v>117</v>
      </c>
      <c r="G9" s="3" t="s">
        <v>118</v>
      </c>
      <c r="H9" s="3" t="s">
        <v>119</v>
      </c>
      <c r="I9" s="1" t="s">
        <v>100</v>
      </c>
      <c r="J9" s="1" t="s">
        <v>50</v>
      </c>
      <c r="K9" s="34">
        <v>45869</v>
      </c>
      <c r="L9" s="27"/>
      <c r="M9" s="35"/>
      <c r="N9" s="1" t="s">
        <v>95</v>
      </c>
      <c r="O9" s="1" t="str">
        <f>TEXT(Table1[[#This Row],[Audit Date]],"mmm")</f>
        <v>Jun</v>
      </c>
      <c r="P9" s="1"/>
    </row>
    <row r="10" spans="1:16" ht="30" hidden="1" x14ac:dyDescent="0.25">
      <c r="A10" s="4">
        <f>IF((Table1[[#This Row],[Audit Date]]=""),"",ROW(A7))</f>
        <v>7</v>
      </c>
      <c r="B10" s="6">
        <v>45770</v>
      </c>
      <c r="C10" s="2" t="s">
        <v>9</v>
      </c>
      <c r="D10" s="4">
        <v>9</v>
      </c>
      <c r="E10" s="1" t="s">
        <v>120</v>
      </c>
      <c r="F10" s="3" t="s">
        <v>121</v>
      </c>
      <c r="G10" s="3" t="s">
        <v>122</v>
      </c>
      <c r="H10" s="3" t="s">
        <v>123</v>
      </c>
      <c r="I10" s="1" t="s">
        <v>124</v>
      </c>
      <c r="J10" s="1" t="s">
        <v>94</v>
      </c>
      <c r="K10" s="34">
        <v>45770</v>
      </c>
      <c r="L10" s="27">
        <v>1</v>
      </c>
      <c r="M10" s="35">
        <v>45770</v>
      </c>
      <c r="N10" s="1" t="s">
        <v>95</v>
      </c>
      <c r="O10" s="1" t="str">
        <f>TEXT(Table1[[#This Row],[Audit Date]],"mmm")</f>
        <v>Apr</v>
      </c>
      <c r="P10" s="1"/>
    </row>
    <row r="11" spans="1:16" ht="30" hidden="1" x14ac:dyDescent="0.25">
      <c r="A11" s="4">
        <f>IF((Table1[[#This Row],[Audit Date]]=""),"",ROW(A8))</f>
        <v>8</v>
      </c>
      <c r="B11" s="6">
        <v>45806</v>
      </c>
      <c r="C11" s="2" t="s">
        <v>9</v>
      </c>
      <c r="D11" s="4">
        <v>13</v>
      </c>
      <c r="E11" s="1" t="s">
        <v>96</v>
      </c>
      <c r="F11" s="3" t="s">
        <v>125</v>
      </c>
      <c r="G11" s="3" t="s">
        <v>126</v>
      </c>
      <c r="H11" s="3" t="s">
        <v>127</v>
      </c>
      <c r="I11" s="1" t="s">
        <v>128</v>
      </c>
      <c r="J11" s="1" t="s">
        <v>129</v>
      </c>
      <c r="K11" s="34">
        <v>45899</v>
      </c>
      <c r="L11" s="27">
        <v>0.4</v>
      </c>
      <c r="M11" s="35"/>
      <c r="N11" s="1" t="s">
        <v>95</v>
      </c>
      <c r="O11" s="1" t="str">
        <f>TEXT(Table1[[#This Row],[Audit Date]],"mmm")</f>
        <v>May</v>
      </c>
      <c r="P11" s="1"/>
    </row>
    <row r="12" spans="1:16" ht="30" hidden="1" x14ac:dyDescent="0.25">
      <c r="A12" s="4">
        <f>IF((Table1[[#This Row],[Audit Date]]=""),"",ROW(A9))</f>
        <v>9</v>
      </c>
      <c r="B12" s="6">
        <v>45792</v>
      </c>
      <c r="C12" s="2" t="s">
        <v>9</v>
      </c>
      <c r="D12" s="4">
        <v>0</v>
      </c>
      <c r="E12" s="1" t="s">
        <v>96</v>
      </c>
      <c r="F12" s="3" t="s">
        <v>130</v>
      </c>
      <c r="G12" s="3" t="s">
        <v>98</v>
      </c>
      <c r="H12" s="3" t="s">
        <v>131</v>
      </c>
      <c r="I12" s="1" t="s">
        <v>132</v>
      </c>
      <c r="J12" s="1" t="s">
        <v>50</v>
      </c>
      <c r="K12" s="34">
        <v>45901</v>
      </c>
      <c r="L12" s="27">
        <v>0.4</v>
      </c>
      <c r="M12" s="35"/>
      <c r="N12" s="1" t="s">
        <v>115</v>
      </c>
      <c r="O12" s="1" t="str">
        <f>TEXT(Table1[[#This Row],[Audit Date]],"mmm")</f>
        <v>May</v>
      </c>
      <c r="P12" s="1"/>
    </row>
    <row r="13" spans="1:16" ht="30" hidden="1" x14ac:dyDescent="0.25">
      <c r="A13" s="4">
        <f>IF((Table1[[#This Row],[Audit Date]]=""),"",ROW(A10))</f>
        <v>10</v>
      </c>
      <c r="B13" s="6">
        <v>45806</v>
      </c>
      <c r="C13" s="2" t="s">
        <v>9</v>
      </c>
      <c r="D13" s="4">
        <v>11</v>
      </c>
      <c r="E13" s="1" t="s">
        <v>106</v>
      </c>
      <c r="F13" s="3" t="s">
        <v>133</v>
      </c>
      <c r="G13" s="3" t="s">
        <v>134</v>
      </c>
      <c r="H13" s="3" t="s">
        <v>135</v>
      </c>
      <c r="I13" s="1" t="s">
        <v>110</v>
      </c>
      <c r="J13" s="1" t="s">
        <v>94</v>
      </c>
      <c r="K13" s="34">
        <v>45823</v>
      </c>
      <c r="L13" s="27">
        <v>1</v>
      </c>
      <c r="M13" s="35"/>
      <c r="N13" s="1" t="s">
        <v>105</v>
      </c>
      <c r="O13" s="1" t="str">
        <f>TEXT(Table1[[#This Row],[Audit Date]],"mmm")</f>
        <v>May</v>
      </c>
      <c r="P13" s="1"/>
    </row>
    <row r="14" spans="1:16" hidden="1" x14ac:dyDescent="0.25">
      <c r="A14" s="4">
        <f>IF((Table1[[#This Row],[Audit Date]]=""),"",ROW(A11))</f>
        <v>11</v>
      </c>
      <c r="B14" s="6">
        <v>45806</v>
      </c>
      <c r="C14" s="2" t="s">
        <v>9</v>
      </c>
      <c r="D14" s="4">
        <v>11</v>
      </c>
      <c r="E14" s="1" t="s">
        <v>106</v>
      </c>
      <c r="F14" s="3" t="s">
        <v>136</v>
      </c>
      <c r="G14" s="3" t="s">
        <v>137</v>
      </c>
      <c r="H14" s="3" t="s">
        <v>138</v>
      </c>
      <c r="I14" s="1" t="s">
        <v>110</v>
      </c>
      <c r="J14" s="1" t="s">
        <v>94</v>
      </c>
      <c r="K14" s="34">
        <v>45835</v>
      </c>
      <c r="L14" s="27"/>
      <c r="M14" s="35"/>
      <c r="N14" s="1" t="s">
        <v>115</v>
      </c>
      <c r="O14" s="1" t="str">
        <f>TEXT(Table1[[#This Row],[Audit Date]],"mmm")</f>
        <v>May</v>
      </c>
      <c r="P14" s="1"/>
    </row>
    <row r="15" spans="1:16" ht="30" hidden="1" x14ac:dyDescent="0.25">
      <c r="A15" s="4">
        <f>IF((Table1[[#This Row],[Audit Date]]=""),"",ROW(A12))</f>
        <v>12</v>
      </c>
      <c r="B15" s="6">
        <v>45806</v>
      </c>
      <c r="C15" s="2" t="s">
        <v>9</v>
      </c>
      <c r="D15" s="4">
        <v>11</v>
      </c>
      <c r="E15" s="1" t="s">
        <v>106</v>
      </c>
      <c r="F15" s="3" t="s">
        <v>139</v>
      </c>
      <c r="G15" s="3" t="s">
        <v>140</v>
      </c>
      <c r="H15" s="3" t="s">
        <v>141</v>
      </c>
      <c r="I15" s="1" t="s">
        <v>110</v>
      </c>
      <c r="J15" s="1" t="s">
        <v>129</v>
      </c>
      <c r="K15" s="34">
        <v>45901</v>
      </c>
      <c r="L15" s="27">
        <v>0.9</v>
      </c>
      <c r="M15" s="35"/>
      <c r="N15" s="1" t="s">
        <v>95</v>
      </c>
      <c r="O15" s="1" t="str">
        <f>TEXT(Table1[[#This Row],[Audit Date]],"mmm")</f>
        <v>May</v>
      </c>
      <c r="P15" s="1"/>
    </row>
    <row r="16" spans="1:16" hidden="1" x14ac:dyDescent="0.25">
      <c r="A16" s="4">
        <f>IF((Table1[[#This Row],[Audit Date]]=""),"",ROW(A13))</f>
        <v>13</v>
      </c>
      <c r="B16" s="6">
        <v>45793</v>
      </c>
      <c r="C16" s="2" t="s">
        <v>9</v>
      </c>
      <c r="D16" s="4">
        <v>0</v>
      </c>
      <c r="E16" s="1" t="s">
        <v>96</v>
      </c>
      <c r="F16" s="3" t="s">
        <v>142</v>
      </c>
      <c r="G16" s="3" t="s">
        <v>122</v>
      </c>
      <c r="H16" s="3" t="s">
        <v>143</v>
      </c>
      <c r="I16" s="1" t="s">
        <v>144</v>
      </c>
      <c r="J16" s="1" t="s">
        <v>94</v>
      </c>
      <c r="K16" s="34" t="s">
        <v>101</v>
      </c>
      <c r="L16" s="27"/>
      <c r="M16" s="35"/>
      <c r="N16" s="1" t="s">
        <v>115</v>
      </c>
      <c r="O16" s="1" t="str">
        <f>TEXT(Table1[[#This Row],[Audit Date]],"mmm")</f>
        <v>May</v>
      </c>
      <c r="P16" s="1"/>
    </row>
    <row r="17" spans="1:16" ht="30" hidden="1" x14ac:dyDescent="0.25">
      <c r="A17" s="4">
        <f>IF((Table1[[#This Row],[Audit Date]]=""),"",ROW(A14))</f>
        <v>14</v>
      </c>
      <c r="B17" s="6">
        <v>45806</v>
      </c>
      <c r="C17" s="2" t="s">
        <v>9</v>
      </c>
      <c r="D17" s="4">
        <v>11</v>
      </c>
      <c r="E17" s="1" t="s">
        <v>106</v>
      </c>
      <c r="F17" s="3" t="s">
        <v>145</v>
      </c>
      <c r="G17" s="3" t="s">
        <v>146</v>
      </c>
      <c r="H17" s="3" t="s">
        <v>147</v>
      </c>
      <c r="I17" s="1" t="s">
        <v>110</v>
      </c>
      <c r="J17" s="1" t="s">
        <v>50</v>
      </c>
      <c r="K17" s="34" t="s">
        <v>101</v>
      </c>
      <c r="L17" s="27"/>
      <c r="M17" s="35"/>
      <c r="N17" s="1" t="s">
        <v>95</v>
      </c>
      <c r="O17" s="1" t="str">
        <f>TEXT(Table1[[#This Row],[Audit Date]],"mmm")</f>
        <v>May</v>
      </c>
      <c r="P17" s="1"/>
    </row>
    <row r="18" spans="1:16" ht="105" hidden="1" x14ac:dyDescent="0.25">
      <c r="A18" s="4">
        <f>IF((Table1[[#This Row],[Audit Date]]=""),"",ROW(A15))</f>
        <v>15</v>
      </c>
      <c r="B18" s="6">
        <v>45806</v>
      </c>
      <c r="C18" s="2" t="s">
        <v>9</v>
      </c>
      <c r="D18" s="4">
        <v>12</v>
      </c>
      <c r="E18" s="1" t="s">
        <v>148</v>
      </c>
      <c r="F18" s="3" t="s">
        <v>149</v>
      </c>
      <c r="G18" s="3" t="s">
        <v>150</v>
      </c>
      <c r="H18" s="3" t="s">
        <v>151</v>
      </c>
      <c r="I18" s="1" t="s">
        <v>110</v>
      </c>
      <c r="J18" s="1" t="s">
        <v>50</v>
      </c>
      <c r="K18" s="34" t="s">
        <v>101</v>
      </c>
      <c r="L18" s="27"/>
      <c r="M18" s="35"/>
      <c r="N18" s="1" t="s">
        <v>95</v>
      </c>
      <c r="O18" s="1" t="str">
        <f>TEXT(Table1[[#This Row],[Audit Date]],"mmm")</f>
        <v>May</v>
      </c>
      <c r="P18" s="1"/>
    </row>
    <row r="19" spans="1:16" ht="30" hidden="1" x14ac:dyDescent="0.25">
      <c r="A19" s="4">
        <f>IF((Table1[[#This Row],[Audit Date]]=""),"",ROW(A16))</f>
        <v>16</v>
      </c>
      <c r="B19" s="6">
        <v>45806</v>
      </c>
      <c r="C19" s="2" t="s">
        <v>9</v>
      </c>
      <c r="D19" s="4">
        <v>13</v>
      </c>
      <c r="E19" s="1" t="s">
        <v>152</v>
      </c>
      <c r="F19" s="3" t="s">
        <v>153</v>
      </c>
      <c r="G19" s="3" t="s">
        <v>154</v>
      </c>
      <c r="H19" s="13" t="s">
        <v>155</v>
      </c>
      <c r="I19" s="1" t="s">
        <v>110</v>
      </c>
      <c r="J19" s="1" t="s">
        <v>94</v>
      </c>
      <c r="K19" s="34" t="s">
        <v>101</v>
      </c>
      <c r="L19" s="27"/>
      <c r="M19" s="35"/>
      <c r="N19" s="1" t="s">
        <v>105</v>
      </c>
      <c r="O19" s="1" t="str">
        <f>TEXT(Table1[[#This Row],[Audit Date]],"mmm")</f>
        <v>May</v>
      </c>
      <c r="P19" s="1"/>
    </row>
    <row r="20" spans="1:16" ht="28.5" hidden="1" x14ac:dyDescent="0.25">
      <c r="A20" s="4">
        <f>IF((Table1[[#This Row],[Audit Date]]=""),"",ROW(A17))</f>
        <v>17</v>
      </c>
      <c r="B20" s="6">
        <v>45731</v>
      </c>
      <c r="C20" s="2" t="s">
        <v>17</v>
      </c>
      <c r="D20" s="4">
        <v>0</v>
      </c>
      <c r="E20" s="10" t="s">
        <v>156</v>
      </c>
      <c r="F20" s="15" t="s">
        <v>157</v>
      </c>
      <c r="G20" s="3" t="s">
        <v>158</v>
      </c>
      <c r="H20" s="11" t="s">
        <v>159</v>
      </c>
      <c r="I20" s="1" t="s">
        <v>160</v>
      </c>
      <c r="J20" s="1" t="s">
        <v>94</v>
      </c>
      <c r="K20" s="34" t="s">
        <v>101</v>
      </c>
      <c r="L20" s="27"/>
      <c r="M20" s="35"/>
      <c r="N20" s="1" t="s">
        <v>95</v>
      </c>
      <c r="O20" s="1" t="str">
        <f>TEXT(Table1[[#This Row],[Audit Date]],"mmm")</f>
        <v>Mar</v>
      </c>
      <c r="P20" s="1"/>
    </row>
    <row r="21" spans="1:16" ht="57" hidden="1" x14ac:dyDescent="0.25">
      <c r="A21" s="4">
        <f>IF((Table1[[#This Row],[Audit Date]]=""),"",ROW(A18))</f>
        <v>18</v>
      </c>
      <c r="B21" s="6">
        <v>45731</v>
      </c>
      <c r="C21" s="2" t="s">
        <v>17</v>
      </c>
      <c r="D21" s="4">
        <v>15</v>
      </c>
      <c r="E21" s="10" t="s">
        <v>116</v>
      </c>
      <c r="F21" s="15" t="s">
        <v>161</v>
      </c>
      <c r="G21" s="3" t="s">
        <v>158</v>
      </c>
      <c r="H21" s="11" t="s">
        <v>162</v>
      </c>
      <c r="I21" s="1" t="s">
        <v>128</v>
      </c>
      <c r="J21" s="1" t="s">
        <v>50</v>
      </c>
      <c r="K21" s="34" t="s">
        <v>101</v>
      </c>
      <c r="L21" s="27"/>
      <c r="M21" s="35"/>
      <c r="N21" s="1" t="s">
        <v>95</v>
      </c>
      <c r="O21" s="1" t="str">
        <f>TEXT(Table1[[#This Row],[Audit Date]],"mmm")</f>
        <v>Mar</v>
      </c>
      <c r="P21" s="1"/>
    </row>
    <row r="22" spans="1:16" ht="42.75" hidden="1" x14ac:dyDescent="0.25">
      <c r="A22" s="4">
        <f>IF((Table1[[#This Row],[Audit Date]]=""),"",ROW(A19))</f>
        <v>19</v>
      </c>
      <c r="B22" s="6">
        <v>45731</v>
      </c>
      <c r="C22" s="2" t="s">
        <v>17</v>
      </c>
      <c r="D22" s="4" t="s">
        <v>163</v>
      </c>
      <c r="E22" s="10" t="s">
        <v>164</v>
      </c>
      <c r="F22" s="15" t="s">
        <v>165</v>
      </c>
      <c r="G22" s="3" t="s">
        <v>158</v>
      </c>
      <c r="H22" s="11" t="s">
        <v>159</v>
      </c>
      <c r="I22" s="1" t="s">
        <v>160</v>
      </c>
      <c r="J22" s="1" t="s">
        <v>94</v>
      </c>
      <c r="K22" s="34" t="s">
        <v>101</v>
      </c>
      <c r="L22" s="27"/>
      <c r="M22" s="35"/>
      <c r="N22" s="1" t="s">
        <v>95</v>
      </c>
      <c r="O22" s="1" t="str">
        <f>TEXT(Table1[[#This Row],[Audit Date]],"mmm")</f>
        <v>Mar</v>
      </c>
      <c r="P22" s="1"/>
    </row>
    <row r="23" spans="1:16" ht="85.5" hidden="1" x14ac:dyDescent="0.25">
      <c r="A23" s="4">
        <f>IF((Table1[[#This Row],[Audit Date]]=""),"",ROW(A20))</f>
        <v>20</v>
      </c>
      <c r="B23" s="6">
        <v>45731</v>
      </c>
      <c r="C23" s="2" t="s">
        <v>17</v>
      </c>
      <c r="D23" s="4" t="s">
        <v>166</v>
      </c>
      <c r="E23" s="11" t="s">
        <v>167</v>
      </c>
      <c r="F23" s="15" t="s">
        <v>168</v>
      </c>
      <c r="G23" s="3" t="s">
        <v>158</v>
      </c>
      <c r="H23" s="11" t="s">
        <v>169</v>
      </c>
      <c r="I23" s="1" t="s">
        <v>128</v>
      </c>
      <c r="J23" s="1" t="s">
        <v>50</v>
      </c>
      <c r="K23" s="34" t="s">
        <v>101</v>
      </c>
      <c r="L23" s="27"/>
      <c r="M23" s="35"/>
      <c r="N23" s="1" t="s">
        <v>95</v>
      </c>
      <c r="O23" s="1" t="str">
        <f>TEXT(Table1[[#This Row],[Audit Date]],"mmm")</f>
        <v>Mar</v>
      </c>
      <c r="P23" s="1"/>
    </row>
    <row r="24" spans="1:16" ht="71.25" hidden="1" x14ac:dyDescent="0.25">
      <c r="A24" s="4">
        <f>IF((Table1[[#This Row],[Audit Date]]=""),"",ROW(A21))</f>
        <v>21</v>
      </c>
      <c r="B24" s="6">
        <v>45731</v>
      </c>
      <c r="C24" s="2" t="s">
        <v>17</v>
      </c>
      <c r="D24" s="4" t="s">
        <v>170</v>
      </c>
      <c r="E24" s="10" t="s">
        <v>171</v>
      </c>
      <c r="F24" s="16" t="s">
        <v>172</v>
      </c>
      <c r="G24" s="3" t="s">
        <v>158</v>
      </c>
      <c r="H24" s="11" t="s">
        <v>173</v>
      </c>
      <c r="I24" s="1" t="s">
        <v>174</v>
      </c>
      <c r="J24" s="1" t="s">
        <v>50</v>
      </c>
      <c r="K24" s="34" t="s">
        <v>101</v>
      </c>
      <c r="L24" s="27"/>
      <c r="M24" s="35"/>
      <c r="N24" s="1" t="s">
        <v>95</v>
      </c>
      <c r="O24" s="1" t="str">
        <f>TEXT(Table1[[#This Row],[Audit Date]],"mmm")</f>
        <v>Mar</v>
      </c>
      <c r="P24" s="1"/>
    </row>
    <row r="25" spans="1:16" x14ac:dyDescent="0.25">
      <c r="A25" s="4">
        <f>IF((Table1[[#This Row],[Audit Date]]=""),"",ROW(A22))</f>
        <v>22</v>
      </c>
      <c r="B25" s="6">
        <v>45770</v>
      </c>
      <c r="C25" s="2" t="s">
        <v>175</v>
      </c>
      <c r="D25" s="4">
        <v>0</v>
      </c>
      <c r="E25" s="1" t="s">
        <v>96</v>
      </c>
      <c r="F25" s="3" t="s">
        <v>176</v>
      </c>
      <c r="G25" s="3" t="s">
        <v>177</v>
      </c>
      <c r="H25" s="3" t="s">
        <v>178</v>
      </c>
      <c r="I25" s="1" t="s">
        <v>179</v>
      </c>
      <c r="J25" s="1" t="s">
        <v>94</v>
      </c>
      <c r="K25" s="34">
        <v>45814</v>
      </c>
      <c r="L25" s="27">
        <v>1</v>
      </c>
      <c r="M25" s="35"/>
      <c r="N25" s="1" t="s">
        <v>95</v>
      </c>
      <c r="O25" s="1" t="str">
        <f>TEXT(Table1[[#This Row],[Audit Date]],"mmm")</f>
        <v>Apr</v>
      </c>
      <c r="P25" s="1"/>
    </row>
    <row r="26" spans="1:16" ht="45" x14ac:dyDescent="0.25">
      <c r="A26" s="4">
        <f>IF((Table1[[#This Row],[Audit Date]]=""),"",ROW(A23))</f>
        <v>23</v>
      </c>
      <c r="B26" s="6">
        <v>45770</v>
      </c>
      <c r="C26" s="2" t="s">
        <v>175</v>
      </c>
      <c r="D26" s="4">
        <v>14</v>
      </c>
      <c r="E26" s="1" t="s">
        <v>96</v>
      </c>
      <c r="F26" s="3" t="s">
        <v>180</v>
      </c>
      <c r="G26" s="3" t="s">
        <v>181</v>
      </c>
      <c r="H26" s="3" t="s">
        <v>182</v>
      </c>
      <c r="I26" s="1" t="s">
        <v>9</v>
      </c>
      <c r="J26" s="1" t="s">
        <v>129</v>
      </c>
      <c r="K26" s="34">
        <v>45808</v>
      </c>
      <c r="L26" s="27">
        <v>0.8</v>
      </c>
      <c r="M26" s="35"/>
      <c r="N26" s="1" t="s">
        <v>115</v>
      </c>
      <c r="O26" s="1" t="str">
        <f>TEXT(Table1[[#This Row],[Audit Date]],"mmm")</f>
        <v>Apr</v>
      </c>
      <c r="P26" s="1"/>
    </row>
    <row r="27" spans="1:16" ht="30" x14ac:dyDescent="0.25">
      <c r="A27" s="4">
        <f>IF((Table1[[#This Row],[Audit Date]]=""),"",ROW(A24))</f>
        <v>24</v>
      </c>
      <c r="B27" s="6">
        <v>45770</v>
      </c>
      <c r="C27" s="2" t="s">
        <v>175</v>
      </c>
      <c r="D27" s="4">
        <v>0</v>
      </c>
      <c r="E27" s="1" t="s">
        <v>96</v>
      </c>
      <c r="F27" s="3" t="s">
        <v>183</v>
      </c>
      <c r="G27" s="3" t="s">
        <v>184</v>
      </c>
      <c r="H27" s="3" t="s">
        <v>185</v>
      </c>
      <c r="I27" s="1" t="s">
        <v>9</v>
      </c>
      <c r="J27" s="1" t="s">
        <v>129</v>
      </c>
      <c r="K27" s="34">
        <v>45840</v>
      </c>
      <c r="L27" s="27">
        <v>0.9</v>
      </c>
      <c r="M27" s="35"/>
      <c r="N27" s="1" t="s">
        <v>115</v>
      </c>
      <c r="O27" s="1" t="str">
        <f>TEXT(Table1[[#This Row],[Audit Date]],"mmm")</f>
        <v>Apr</v>
      </c>
      <c r="P27" s="1" t="s">
        <v>186</v>
      </c>
    </row>
    <row r="28" spans="1:16" ht="75" x14ac:dyDescent="0.25">
      <c r="A28" s="4">
        <f>IF((Table1[[#This Row],[Audit Date]]=""),"",ROW(A25))</f>
        <v>25</v>
      </c>
      <c r="B28" s="6">
        <v>45770</v>
      </c>
      <c r="C28" s="2" t="s">
        <v>175</v>
      </c>
      <c r="D28" s="4">
        <v>0.1</v>
      </c>
      <c r="E28" s="1" t="s">
        <v>96</v>
      </c>
      <c r="F28" s="3" t="s">
        <v>187</v>
      </c>
      <c r="G28" s="3" t="s">
        <v>188</v>
      </c>
      <c r="H28" s="3" t="s">
        <v>189</v>
      </c>
      <c r="I28" s="1" t="s">
        <v>93</v>
      </c>
      <c r="J28" s="1" t="s">
        <v>129</v>
      </c>
      <c r="K28" s="34">
        <v>45848</v>
      </c>
      <c r="L28" s="27">
        <v>0</v>
      </c>
      <c r="M28" s="35"/>
      <c r="N28" s="1" t="s">
        <v>95</v>
      </c>
      <c r="O28" s="1" t="str">
        <f>TEXT(Table1[[#This Row],[Audit Date]],"mmm")</f>
        <v>Apr</v>
      </c>
      <c r="P28" s="1"/>
    </row>
    <row r="29" spans="1:16" ht="45" x14ac:dyDescent="0.25">
      <c r="A29" s="4">
        <f>IF((Table1[[#This Row],[Audit Date]]=""),"",ROW(A26))</f>
        <v>26</v>
      </c>
      <c r="B29" s="6">
        <v>45770</v>
      </c>
      <c r="C29" s="2" t="s">
        <v>175</v>
      </c>
      <c r="D29" s="4">
        <v>0.1</v>
      </c>
      <c r="E29" s="1" t="s">
        <v>96</v>
      </c>
      <c r="F29" s="3" t="s">
        <v>190</v>
      </c>
      <c r="G29" s="3" t="s">
        <v>122</v>
      </c>
      <c r="H29" s="3" t="s">
        <v>191</v>
      </c>
      <c r="I29" s="1" t="s">
        <v>9</v>
      </c>
      <c r="J29" s="1" t="s">
        <v>94</v>
      </c>
      <c r="K29" s="34">
        <v>45777</v>
      </c>
      <c r="L29" s="27">
        <v>1</v>
      </c>
      <c r="M29" s="35">
        <v>45787</v>
      </c>
      <c r="N29" s="1" t="s">
        <v>95</v>
      </c>
      <c r="O29" s="1" t="str">
        <f>TEXT(Table1[[#This Row],[Audit Date]],"mmm")</f>
        <v>Apr</v>
      </c>
      <c r="P29" s="1"/>
    </row>
    <row r="30" spans="1:16" ht="30" x14ac:dyDescent="0.25">
      <c r="A30" s="4">
        <f>IF((Table1[[#This Row],[Audit Date]]=""),"",ROW(A27))</f>
        <v>27</v>
      </c>
      <c r="B30" s="6">
        <v>45770</v>
      </c>
      <c r="C30" s="2" t="s">
        <v>175</v>
      </c>
      <c r="D30" s="4">
        <v>7</v>
      </c>
      <c r="E30" s="1" t="s">
        <v>96</v>
      </c>
      <c r="F30" s="3" t="s">
        <v>192</v>
      </c>
      <c r="G30" s="3" t="s">
        <v>193</v>
      </c>
      <c r="H30" s="3" t="s">
        <v>194</v>
      </c>
      <c r="I30" s="1" t="s">
        <v>110</v>
      </c>
      <c r="J30" s="1" t="s">
        <v>94</v>
      </c>
      <c r="K30" s="34">
        <v>45777</v>
      </c>
      <c r="L30" s="27">
        <v>1</v>
      </c>
      <c r="M30" s="35">
        <v>45818</v>
      </c>
      <c r="N30" s="1" t="s">
        <v>115</v>
      </c>
      <c r="O30" s="1" t="str">
        <f>TEXT(Table1[[#This Row],[Audit Date]],"mmm")</f>
        <v>Apr</v>
      </c>
      <c r="P30" s="1"/>
    </row>
    <row r="31" spans="1:16" ht="30" x14ac:dyDescent="0.25">
      <c r="A31" s="4">
        <f>IF((Table1[[#This Row],[Audit Date]]=""),"",ROW(A28))</f>
        <v>28</v>
      </c>
      <c r="B31" s="6">
        <v>45770</v>
      </c>
      <c r="C31" s="2" t="s">
        <v>175</v>
      </c>
      <c r="D31" s="4">
        <v>9</v>
      </c>
      <c r="E31" s="1" t="s">
        <v>96</v>
      </c>
      <c r="F31" s="3" t="s">
        <v>195</v>
      </c>
      <c r="G31" s="3" t="s">
        <v>122</v>
      </c>
      <c r="H31" s="3" t="s">
        <v>196</v>
      </c>
      <c r="I31" s="1" t="s">
        <v>110</v>
      </c>
      <c r="J31" s="1" t="s">
        <v>94</v>
      </c>
      <c r="K31" s="34" t="s">
        <v>101</v>
      </c>
      <c r="L31" s="27"/>
      <c r="M31" s="35">
        <v>45838</v>
      </c>
      <c r="N31" s="1" t="s">
        <v>95</v>
      </c>
      <c r="O31" s="1" t="str">
        <f>TEXT(Table1[[#This Row],[Audit Date]],"mmm")</f>
        <v>Apr</v>
      </c>
      <c r="P31" s="1"/>
    </row>
    <row r="32" spans="1:16" ht="45" x14ac:dyDescent="0.25">
      <c r="A32" s="4">
        <f>IF((Table1[[#This Row],[Audit Date]]=""),"",ROW(A29))</f>
        <v>29</v>
      </c>
      <c r="B32" s="6">
        <v>45770</v>
      </c>
      <c r="C32" s="2" t="s">
        <v>175</v>
      </c>
      <c r="D32" s="4">
        <v>0</v>
      </c>
      <c r="E32" s="1" t="s">
        <v>96</v>
      </c>
      <c r="F32" s="3" t="s">
        <v>197</v>
      </c>
      <c r="G32" s="3" t="s">
        <v>198</v>
      </c>
      <c r="H32" s="3" t="s">
        <v>199</v>
      </c>
      <c r="I32" s="1" t="s">
        <v>200</v>
      </c>
      <c r="J32" s="1" t="s">
        <v>94</v>
      </c>
      <c r="K32" s="34" t="s">
        <v>101</v>
      </c>
      <c r="L32" s="27">
        <v>0.5</v>
      </c>
      <c r="M32" s="35"/>
      <c r="N32" s="1" t="s">
        <v>115</v>
      </c>
      <c r="O32" s="1" t="str">
        <f>TEXT(Table1[[#This Row],[Audit Date]],"mmm")</f>
        <v>Apr</v>
      </c>
      <c r="P32" s="1"/>
    </row>
    <row r="33" spans="1:16" ht="30" x14ac:dyDescent="0.25">
      <c r="A33" s="4">
        <f>IF((Table1[[#This Row],[Audit Date]]=""),"",ROW(A30))</f>
        <v>30</v>
      </c>
      <c r="B33" s="6">
        <v>45770</v>
      </c>
      <c r="C33" s="2" t="s">
        <v>175</v>
      </c>
      <c r="D33" s="4">
        <v>11</v>
      </c>
      <c r="E33" s="1" t="s">
        <v>201</v>
      </c>
      <c r="F33" s="3" t="s">
        <v>202</v>
      </c>
      <c r="G33" s="3" t="s">
        <v>203</v>
      </c>
      <c r="H33" s="3" t="s">
        <v>204</v>
      </c>
      <c r="I33" s="1" t="s">
        <v>9</v>
      </c>
      <c r="J33" s="1" t="s">
        <v>94</v>
      </c>
      <c r="K33" s="34">
        <v>45777</v>
      </c>
      <c r="L33" s="27">
        <v>1</v>
      </c>
      <c r="M33" s="35">
        <v>45791</v>
      </c>
      <c r="N33" s="1" t="s">
        <v>115</v>
      </c>
      <c r="O33" s="1" t="str">
        <f>TEXT(Table1[[#This Row],[Audit Date]],"mmm")</f>
        <v>Apr</v>
      </c>
      <c r="P33" s="1"/>
    </row>
    <row r="34" spans="1:16" ht="45" x14ac:dyDescent="0.25">
      <c r="A34" s="4">
        <f>IF((Table1[[#This Row],[Audit Date]]=""),"",ROW(A31))</f>
        <v>31</v>
      </c>
      <c r="B34" s="6">
        <v>45770</v>
      </c>
      <c r="C34" s="2" t="s">
        <v>175</v>
      </c>
      <c r="D34" s="4">
        <v>9</v>
      </c>
      <c r="E34" s="1" t="s">
        <v>205</v>
      </c>
      <c r="F34" s="3" t="s">
        <v>206</v>
      </c>
      <c r="G34" s="3" t="s">
        <v>207</v>
      </c>
      <c r="H34" s="3" t="s">
        <v>208</v>
      </c>
      <c r="I34" s="1" t="s">
        <v>100</v>
      </c>
      <c r="J34" s="1" t="s">
        <v>50</v>
      </c>
      <c r="K34" s="34" t="s">
        <v>101</v>
      </c>
      <c r="L34" s="27"/>
      <c r="M34" s="35"/>
      <c r="N34" s="1" t="s">
        <v>95</v>
      </c>
      <c r="O34" s="1" t="str">
        <f>TEXT(Table1[[#This Row],[Audit Date]],"mmm")</f>
        <v>Apr</v>
      </c>
      <c r="P34" s="1"/>
    </row>
    <row r="35" spans="1:16" ht="45" x14ac:dyDescent="0.25">
      <c r="A35" s="4">
        <f>IF((Table1[[#This Row],[Audit Date]]=""),"",ROW(A32))</f>
        <v>32</v>
      </c>
      <c r="B35" s="6">
        <v>45800</v>
      </c>
      <c r="C35" s="2" t="s">
        <v>175</v>
      </c>
      <c r="D35" s="4">
        <v>11</v>
      </c>
      <c r="E35" s="1" t="s">
        <v>96</v>
      </c>
      <c r="F35" s="3" t="s">
        <v>209</v>
      </c>
      <c r="G35" s="3" t="s">
        <v>210</v>
      </c>
      <c r="H35" s="3" t="s">
        <v>211</v>
      </c>
      <c r="I35" s="1" t="s">
        <v>110</v>
      </c>
      <c r="J35" s="1" t="s">
        <v>50</v>
      </c>
      <c r="K35" s="34" t="s">
        <v>101</v>
      </c>
      <c r="L35" s="27"/>
      <c r="M35" s="35"/>
      <c r="N35" s="1" t="s">
        <v>115</v>
      </c>
      <c r="O35" s="1" t="str">
        <f>TEXT(Table1[[#This Row],[Audit Date]],"mmm")</f>
        <v>May</v>
      </c>
      <c r="P35" s="1"/>
    </row>
    <row r="36" spans="1:16" ht="30" x14ac:dyDescent="0.25">
      <c r="A36" s="4">
        <f>IF((Table1[[#This Row],[Audit Date]]=""),"",ROW(A33))</f>
        <v>33</v>
      </c>
      <c r="B36" s="6">
        <v>45770</v>
      </c>
      <c r="C36" s="2" t="s">
        <v>175</v>
      </c>
      <c r="D36" s="4" t="s">
        <v>212</v>
      </c>
      <c r="E36" s="1" t="s">
        <v>96</v>
      </c>
      <c r="F36" s="3" t="s">
        <v>213</v>
      </c>
      <c r="G36" s="3" t="s">
        <v>122</v>
      </c>
      <c r="H36" s="3" t="s">
        <v>214</v>
      </c>
      <c r="I36" s="1" t="s">
        <v>110</v>
      </c>
      <c r="J36" s="1" t="s">
        <v>94</v>
      </c>
      <c r="K36" s="34">
        <v>45848</v>
      </c>
      <c r="L36" s="27">
        <v>0.8</v>
      </c>
      <c r="M36" s="35"/>
      <c r="N36" s="1" t="s">
        <v>115</v>
      </c>
      <c r="O36" s="1" t="str">
        <f>TEXT(Table1[[#This Row],[Audit Date]],"mmm")</f>
        <v>Apr</v>
      </c>
      <c r="P36" s="1"/>
    </row>
    <row r="37" spans="1:16" hidden="1" x14ac:dyDescent="0.25">
      <c r="A37" s="4" t="str">
        <f>IF((Table1[[#This Row],[Audit Date]]=""),"",ROW(A34))</f>
        <v/>
      </c>
      <c r="B37" s="4"/>
      <c r="C37" s="2"/>
      <c r="D37" s="4" t="s">
        <v>215</v>
      </c>
      <c r="E37" s="1"/>
      <c r="F37" s="3"/>
      <c r="G37" s="3"/>
      <c r="H37" s="3"/>
      <c r="I37" s="1"/>
      <c r="J37" s="1"/>
      <c r="K37" s="34"/>
      <c r="L37" s="27"/>
      <c r="M37" s="35"/>
      <c r="N37" s="1"/>
      <c r="O37" s="1" t="str">
        <f>TEXT(Table1[[#This Row],[Audit Date]],"mmm")</f>
        <v>Jan</v>
      </c>
      <c r="P37" s="1"/>
    </row>
  </sheetData>
  <mergeCells count="1">
    <mergeCell ref="F1:H2"/>
  </mergeCells>
  <pageMargins left="0.25" right="0.25" top="0.18" bottom="0.28999999999999998" header="0.17" footer="0.3"/>
  <pageSetup scale="39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CBC7-3AA8-4AD0-A4B6-8B83D2ADF374}">
  <sheetPr>
    <tabColor rgb="FFFFC000"/>
  </sheetPr>
  <dimension ref="A3:Q171"/>
  <sheetViews>
    <sheetView showGridLines="0" topLeftCell="A65" zoomScale="10" zoomScaleNormal="10" workbookViewId="0">
      <selection activeCell="DE103" sqref="DE103"/>
    </sheetView>
  </sheetViews>
  <sheetFormatPr defaultRowHeight="15" x14ac:dyDescent="0.25"/>
  <cols>
    <col min="1" max="1" width="11.140625" style="24" customWidth="1"/>
    <col min="2" max="2" width="12.7109375" style="23" bestFit="1" customWidth="1"/>
    <col min="3" max="3" width="10.5703125" style="23" customWidth="1"/>
    <col min="4" max="4" width="14.85546875" style="23" customWidth="1"/>
    <col min="5" max="5" width="9.85546875" style="23" customWidth="1"/>
    <col min="6" max="6" width="26" style="61" customWidth="1"/>
    <col min="7" max="7" width="41.85546875" style="24" customWidth="1"/>
    <col min="8" max="8" width="21.5703125" style="23" customWidth="1"/>
    <col min="9" max="9" width="31.85546875" style="23" customWidth="1"/>
    <col min="10" max="10" width="34.7109375" style="23" customWidth="1"/>
    <col min="11" max="11" width="20.140625" style="23" bestFit="1" customWidth="1"/>
    <col min="12" max="12" width="35.7109375" style="23" bestFit="1" customWidth="1"/>
    <col min="13" max="13" width="26" style="23" customWidth="1"/>
    <col min="14" max="14" width="12.28515625" style="23" hidden="1" customWidth="1"/>
    <col min="15" max="15" width="8.85546875" hidden="1" customWidth="1"/>
    <col min="16" max="16" width="0.7109375" customWidth="1"/>
    <col min="17" max="17" width="26" style="4" customWidth="1"/>
  </cols>
  <sheetData>
    <row r="3" spans="1:17" s="4" customFormat="1" ht="51" customHeight="1" x14ac:dyDescent="0.25">
      <c r="A3" s="25" t="s">
        <v>216</v>
      </c>
      <c r="B3" s="26" t="s">
        <v>217</v>
      </c>
      <c r="C3" s="26" t="s">
        <v>218</v>
      </c>
      <c r="D3" s="26" t="s">
        <v>219</v>
      </c>
      <c r="E3" s="26" t="s">
        <v>220</v>
      </c>
      <c r="F3" s="59" t="s">
        <v>221</v>
      </c>
      <c r="G3" s="26" t="s">
        <v>222</v>
      </c>
      <c r="H3" s="26" t="s">
        <v>223</v>
      </c>
      <c r="I3" s="26" t="s">
        <v>224</v>
      </c>
      <c r="J3" s="26" t="s">
        <v>82</v>
      </c>
      <c r="K3" s="26" t="s">
        <v>225</v>
      </c>
      <c r="L3" s="26" t="s">
        <v>85</v>
      </c>
      <c r="M3" s="26" t="s">
        <v>84</v>
      </c>
      <c r="N3" s="26" t="s">
        <v>226</v>
      </c>
      <c r="O3" s="56" t="s">
        <v>227</v>
      </c>
    </row>
    <row r="4" spans="1:17" ht="30" x14ac:dyDescent="0.25">
      <c r="A4" s="18">
        <f>IF((Table1333[[#This Row],[Date]]=""),"",ROW(A1))</f>
        <v>1</v>
      </c>
      <c r="B4" s="71">
        <v>45836</v>
      </c>
      <c r="C4" s="69">
        <v>0.41666666666666669</v>
      </c>
      <c r="D4" s="21" t="s">
        <v>228</v>
      </c>
      <c r="E4" s="21">
        <v>13</v>
      </c>
      <c r="F4" s="22" t="str">
        <f>IF(Table1333[[#This Row],[Loc ID]]="","",VLOOKUP(Table1333[[#This Row],[Loc ID]],Loc_ID[],2,0))</f>
        <v>NTF Fences</v>
      </c>
      <c r="G4" s="102" t="s">
        <v>229</v>
      </c>
      <c r="H4" s="21" t="s">
        <v>230</v>
      </c>
      <c r="I4" s="21" t="s">
        <v>231</v>
      </c>
      <c r="J4" s="21" t="s">
        <v>232</v>
      </c>
      <c r="K4" s="21" t="s">
        <v>174</v>
      </c>
      <c r="L4" s="62">
        <v>45842</v>
      </c>
      <c r="M4" s="21" t="s">
        <v>94</v>
      </c>
      <c r="N4" s="21" t="str">
        <f>IF(Table1333[[#This Row],[Date]]="","",(TEXT(Table1333[[#This Row],[Date]],"MMM")))</f>
        <v>Jun</v>
      </c>
      <c r="O4" s="21" t="str">
        <f>IF(Table1333[[#This Row],[Target Date]]="","",(TEXT(Table1333[[#This Row],[Target Date]],"MMM")))</f>
        <v>Jul</v>
      </c>
    </row>
    <row r="5" spans="1:17" ht="30" x14ac:dyDescent="0.25">
      <c r="A5" s="18">
        <f>IF((Table1333[[#This Row],[Date]]=""),"",ROW(A2))</f>
        <v>2</v>
      </c>
      <c r="B5" s="19">
        <v>45810</v>
      </c>
      <c r="C5" s="69">
        <v>0.43055555555555558</v>
      </c>
      <c r="D5" s="21" t="s">
        <v>233</v>
      </c>
      <c r="E5" s="21">
        <v>1</v>
      </c>
      <c r="F5" s="60" t="str">
        <f>IF(Table1333[[#This Row],[Loc ID]]="","",VLOOKUP(Table1333[[#This Row],[Loc ID]],Loc_ID[],2,0))</f>
        <v>Operation Office Area</v>
      </c>
      <c r="G5" s="22" t="s">
        <v>234</v>
      </c>
      <c r="H5" s="21" t="s">
        <v>230</v>
      </c>
      <c r="I5" s="21" t="s">
        <v>231</v>
      </c>
      <c r="J5" s="21" t="s">
        <v>235</v>
      </c>
      <c r="K5" s="21" t="s">
        <v>41</v>
      </c>
      <c r="L5" s="62">
        <v>45825</v>
      </c>
      <c r="M5" s="21" t="s">
        <v>129</v>
      </c>
      <c r="N5" s="21" t="str">
        <f>IF(Table1333[[#This Row],[Date]]="","",(TEXT(Table1333[[#This Row],[Date]],"MMM")))</f>
        <v>Jun</v>
      </c>
      <c r="O5" s="21" t="str">
        <f>IF(Table1333[[#This Row],[Target Date]]="","",(TEXT(Table1333[[#This Row],[Target Date]],"MMM")))</f>
        <v>Jun</v>
      </c>
    </row>
    <row r="6" spans="1:17" ht="30" x14ac:dyDescent="0.25">
      <c r="A6" s="18">
        <f>IF((Table1333[[#This Row],[Date]]=""),"",ROW(A3))</f>
        <v>3</v>
      </c>
      <c r="B6" s="19">
        <v>45810</v>
      </c>
      <c r="C6" s="69">
        <v>0.4375</v>
      </c>
      <c r="D6" s="21" t="s">
        <v>233</v>
      </c>
      <c r="E6" s="21">
        <v>0.3</v>
      </c>
      <c r="F6" s="22" t="str">
        <f>IF(Table1333[[#This Row],[Loc ID]]="","",VLOOKUP(Table1333[[#This Row],[Loc ID]],Loc_ID[],2,0))</f>
        <v>Delivery Vehicles</v>
      </c>
      <c r="G6" s="22" t="s">
        <v>236</v>
      </c>
      <c r="H6" s="21" t="s">
        <v>230</v>
      </c>
      <c r="I6" s="21" t="s">
        <v>231</v>
      </c>
      <c r="J6" s="21" t="s">
        <v>237</v>
      </c>
      <c r="K6" s="21" t="s">
        <v>238</v>
      </c>
      <c r="L6" s="62">
        <v>45832</v>
      </c>
      <c r="M6" s="21" t="s">
        <v>50</v>
      </c>
      <c r="N6" s="21" t="str">
        <f>IF(Table1333[[#This Row],[Date]]="","",(TEXT(Table1333[[#This Row],[Date]],"MMM")))</f>
        <v>Jun</v>
      </c>
      <c r="O6" s="21" t="str">
        <f>IF(Table1333[[#This Row],[Target Date]]="","",(TEXT(Table1333[[#This Row],[Target Date]],"MMM")))</f>
        <v>Jun</v>
      </c>
    </row>
    <row r="7" spans="1:17" ht="30" x14ac:dyDescent="0.25">
      <c r="A7" s="18">
        <f>IF((Table1333[[#This Row],[Date]]=""),"",ROW(A4))</f>
        <v>4</v>
      </c>
      <c r="B7" s="71">
        <v>45837</v>
      </c>
      <c r="C7" s="69">
        <v>0.4236111111111111</v>
      </c>
      <c r="D7" s="21" t="s">
        <v>239</v>
      </c>
      <c r="E7" s="21">
        <v>11</v>
      </c>
      <c r="F7" s="22" t="str">
        <f>IF(Table1333[[#This Row],[Loc ID]]="","",VLOOKUP(Table1333[[#This Row],[Loc ID]],Loc_ID[],2,0))</f>
        <v>TTFS and Drums Area</v>
      </c>
      <c r="G7" s="102" t="s">
        <v>240</v>
      </c>
      <c r="H7" s="21" t="s">
        <v>230</v>
      </c>
      <c r="I7" s="21" t="s">
        <v>231</v>
      </c>
      <c r="J7" s="21" t="s">
        <v>241</v>
      </c>
      <c r="K7" s="21" t="s">
        <v>114</v>
      </c>
      <c r="L7" s="62">
        <v>45869</v>
      </c>
      <c r="M7" s="21" t="s">
        <v>94</v>
      </c>
      <c r="N7" s="21" t="str">
        <f>IF(Table1333[[#This Row],[Date]]="","",(TEXT(Table1333[[#This Row],[Date]],"MMM")))</f>
        <v>Jun</v>
      </c>
      <c r="O7" s="21" t="str">
        <f>IF(Table1333[[#This Row],[Target Date]]="","",(TEXT(Table1333[[#This Row],[Target Date]],"MMM")))</f>
        <v>Jul</v>
      </c>
    </row>
    <row r="8" spans="1:17" ht="45" x14ac:dyDescent="0.25">
      <c r="A8" s="18">
        <f>IF((Table1333[[#This Row],[Date]]=""),"",ROW(A5))</f>
        <v>5</v>
      </c>
      <c r="B8" s="71">
        <v>45842</v>
      </c>
      <c r="C8" s="69">
        <v>0.4236111111111111</v>
      </c>
      <c r="D8" s="21" t="s">
        <v>239</v>
      </c>
      <c r="E8" s="21">
        <v>0.3</v>
      </c>
      <c r="F8" s="22" t="str">
        <f>IF(Table1333[[#This Row],[Loc ID]]="","",VLOOKUP(Table1333[[#This Row],[Loc ID]],Loc_ID[],2,0))</f>
        <v>Delivery Vehicles</v>
      </c>
      <c r="G8" s="102" t="s">
        <v>242</v>
      </c>
      <c r="H8" s="21" t="s">
        <v>230</v>
      </c>
      <c r="I8" s="21" t="s">
        <v>231</v>
      </c>
      <c r="J8" s="21" t="s">
        <v>243</v>
      </c>
      <c r="K8" s="21" t="s">
        <v>114</v>
      </c>
      <c r="L8" s="62">
        <v>45869</v>
      </c>
      <c r="M8" s="21" t="s">
        <v>50</v>
      </c>
      <c r="N8" s="21" t="str">
        <f>IF(Table1333[[#This Row],[Date]]="","",(TEXT(Table1333[[#This Row],[Date]],"MMM")))</f>
        <v>Jul</v>
      </c>
      <c r="O8" s="21" t="str">
        <f>IF(Table1333[[#This Row],[Target Date]]="","",(TEXT(Table1333[[#This Row],[Target Date]],"MMM")))</f>
        <v>Jul</v>
      </c>
    </row>
    <row r="9" spans="1:17" ht="30" x14ac:dyDescent="0.25">
      <c r="A9" s="18">
        <f>IF((Table1333[[#This Row],[Date]]=""),"",ROW(A6))</f>
        <v>6</v>
      </c>
      <c r="B9" s="19">
        <v>45847</v>
      </c>
      <c r="C9" s="69">
        <v>0.40625</v>
      </c>
      <c r="D9" s="21" t="s">
        <v>239</v>
      </c>
      <c r="E9" s="21">
        <v>0.5</v>
      </c>
      <c r="F9" s="22" t="str">
        <f>IF(Table1333[[#This Row],[Loc ID]]="","",VLOOKUP(Table1333[[#This Row],[Loc ID]],Loc_ID[],2,0))</f>
        <v>Procedures</v>
      </c>
      <c r="G9" s="22" t="s">
        <v>244</v>
      </c>
      <c r="H9" s="21" t="s">
        <v>230</v>
      </c>
      <c r="I9" s="21" t="s">
        <v>231</v>
      </c>
      <c r="J9" s="21" t="s">
        <v>245</v>
      </c>
      <c r="K9" s="21" t="s">
        <v>238</v>
      </c>
      <c r="L9" s="62">
        <v>45869</v>
      </c>
      <c r="M9" s="21" t="s">
        <v>50</v>
      </c>
      <c r="N9" s="21" t="str">
        <f>IF(Table1333[[#This Row],[Date]]="","",(TEXT(Table1333[[#This Row],[Date]],"MMM")))</f>
        <v>Jul</v>
      </c>
      <c r="O9" s="21" t="str">
        <f>IF(Table1333[[#This Row],[Target Date]]="","",(TEXT(Table1333[[#This Row],[Target Date]],"MMM")))</f>
        <v>Jul</v>
      </c>
      <c r="Q9" s="64">
        <v>45831</v>
      </c>
    </row>
    <row r="10" spans="1:17" ht="60" x14ac:dyDescent="0.25">
      <c r="A10" s="18">
        <f>IF((Table1333[[#This Row],[Date]]=""),"",ROW(A7))</f>
        <v>7</v>
      </c>
      <c r="B10" s="19">
        <v>45847</v>
      </c>
      <c r="C10" s="69">
        <v>0.375</v>
      </c>
      <c r="D10" s="21" t="s">
        <v>239</v>
      </c>
      <c r="E10" s="21">
        <v>0.4</v>
      </c>
      <c r="F10" s="22" t="str">
        <f>IF(Table1333[[#This Row],[Loc ID]]="","",VLOOKUP(Table1333[[#This Row],[Loc ID]],Loc_ID[],2,0))</f>
        <v>Compliance</v>
      </c>
      <c r="G10" s="22" t="s">
        <v>246</v>
      </c>
      <c r="H10" s="21" t="s">
        <v>230</v>
      </c>
      <c r="I10" s="21" t="s">
        <v>247</v>
      </c>
      <c r="J10" s="21" t="s">
        <v>248</v>
      </c>
      <c r="K10" s="21" t="s">
        <v>249</v>
      </c>
      <c r="L10" s="62">
        <v>45863</v>
      </c>
      <c r="M10" s="21" t="s">
        <v>94</v>
      </c>
      <c r="N10" s="21" t="str">
        <f>IF(Table1333[[#This Row],[Date]]="","",(TEXT(Table1333[[#This Row],[Date]],"MMM")))</f>
        <v>Jul</v>
      </c>
      <c r="O10" s="21" t="str">
        <f>IF(Table1333[[#This Row],[Target Date]]="","",(TEXT(Table1333[[#This Row],[Target Date]],"MMM")))</f>
        <v>Jul</v>
      </c>
    </row>
    <row r="11" spans="1:17" ht="75" x14ac:dyDescent="0.25">
      <c r="A11" s="18">
        <f>IF((Table1333[[#This Row],[Date]]=""),"",ROW(A8))</f>
        <v>8</v>
      </c>
      <c r="B11" s="19">
        <v>45847</v>
      </c>
      <c r="C11" s="69">
        <v>0.40972222222222221</v>
      </c>
      <c r="D11" s="21" t="s">
        <v>239</v>
      </c>
      <c r="E11" s="21">
        <v>0.4</v>
      </c>
      <c r="F11" s="22" t="str">
        <f>IF(Table1333[[#This Row],[Loc ID]]="","",VLOOKUP(Table1333[[#This Row],[Loc ID]],Loc_ID[],2,0))</f>
        <v>Compliance</v>
      </c>
      <c r="G11" s="22" t="s">
        <v>250</v>
      </c>
      <c r="H11" s="21" t="s">
        <v>230</v>
      </c>
      <c r="I11" s="21" t="s">
        <v>231</v>
      </c>
      <c r="J11" s="21" t="s">
        <v>251</v>
      </c>
      <c r="K11" s="21" t="s">
        <v>114</v>
      </c>
      <c r="L11" s="62">
        <v>45898</v>
      </c>
      <c r="M11" s="21" t="s">
        <v>50</v>
      </c>
      <c r="N11" s="21" t="str">
        <f>IF(Table1333[[#This Row],[Date]]="","",(TEXT(Table1333[[#This Row],[Date]],"MMM")))</f>
        <v>Jul</v>
      </c>
      <c r="O11" s="21" t="str">
        <f>IF(Table1333[[#This Row],[Target Date]]="","",(TEXT(Table1333[[#This Row],[Target Date]],"MMM")))</f>
        <v>Aug</v>
      </c>
    </row>
    <row r="12" spans="1:17" ht="45" x14ac:dyDescent="0.25">
      <c r="A12" s="18">
        <f>IF((Table1333[[#This Row],[Date]]=""),"",ROW(A9))</f>
        <v>9</v>
      </c>
      <c r="B12" s="72">
        <v>45845</v>
      </c>
      <c r="C12" s="69">
        <v>0.41666666666666669</v>
      </c>
      <c r="D12" s="21" t="s">
        <v>252</v>
      </c>
      <c r="E12" s="21">
        <v>0.4</v>
      </c>
      <c r="F12" s="22" t="str">
        <f>IF(Table1333[[#This Row],[Loc ID]]="","",VLOOKUP(Table1333[[#This Row],[Loc ID]],Loc_ID[],2,0))</f>
        <v>Compliance</v>
      </c>
      <c r="G12" s="74" t="s">
        <v>253</v>
      </c>
      <c r="H12" s="21" t="s">
        <v>230</v>
      </c>
      <c r="I12" s="21" t="s">
        <v>254</v>
      </c>
      <c r="J12" s="21" t="s">
        <v>255</v>
      </c>
      <c r="K12" s="21" t="s">
        <v>132</v>
      </c>
      <c r="L12" s="62">
        <v>45869</v>
      </c>
      <c r="M12" s="21" t="s">
        <v>94</v>
      </c>
      <c r="N12" s="21" t="str">
        <f>IF(Table1333[[#This Row],[Date]]="","",(TEXT(Table1333[[#This Row],[Date]],"MMM")))</f>
        <v>Jul</v>
      </c>
      <c r="O12" s="21" t="str">
        <f>IF(Table1333[[#This Row],[Target Date]]="","",(TEXT(Table1333[[#This Row],[Target Date]],"MMM")))</f>
        <v>Jul</v>
      </c>
    </row>
    <row r="13" spans="1:17" ht="60" x14ac:dyDescent="0.25">
      <c r="A13" s="18">
        <f>IF((Table1333[[#This Row],[Date]]=""),"",ROW(A10))</f>
        <v>10</v>
      </c>
      <c r="B13" s="72">
        <v>45845</v>
      </c>
      <c r="C13" s="69">
        <v>0.41666666666666669</v>
      </c>
      <c r="D13" s="21" t="s">
        <v>252</v>
      </c>
      <c r="E13" s="21">
        <v>3</v>
      </c>
      <c r="F13" s="22" t="str">
        <f>IF(Table1333[[#This Row],[Loc ID]]="","",VLOOKUP(Table1333[[#This Row],[Loc ID]],Loc_ID[],2,0))</f>
        <v>DFS,TTFS area</v>
      </c>
      <c r="G13" s="74" t="s">
        <v>256</v>
      </c>
      <c r="H13" s="21" t="s">
        <v>230</v>
      </c>
      <c r="I13" s="21" t="s">
        <v>257</v>
      </c>
      <c r="J13" s="21" t="s">
        <v>258</v>
      </c>
      <c r="K13" s="21" t="s">
        <v>174</v>
      </c>
      <c r="L13" s="62">
        <v>45872</v>
      </c>
      <c r="M13" s="21" t="s">
        <v>50</v>
      </c>
      <c r="N13" s="21" t="str">
        <f>IF(Table1333[[#This Row],[Date]]="","",(TEXT(Table1333[[#This Row],[Date]],"MMM")))</f>
        <v>Jul</v>
      </c>
      <c r="O13" s="21" t="str">
        <f>IF(Table1333[[#This Row],[Target Date]]="","",(TEXT(Table1333[[#This Row],[Target Date]],"MMM")))</f>
        <v>Aug</v>
      </c>
    </row>
    <row r="14" spans="1:17" ht="210" x14ac:dyDescent="0.25">
      <c r="A14" s="18">
        <f>IF((Table1333[[#This Row],[Date]]=""),"",ROW(A11))</f>
        <v>11</v>
      </c>
      <c r="B14" s="72">
        <v>45827</v>
      </c>
      <c r="C14" s="69">
        <v>0.41666666666666669</v>
      </c>
      <c r="D14" s="21" t="s">
        <v>259</v>
      </c>
      <c r="E14" s="21">
        <v>0</v>
      </c>
      <c r="F14" s="22" t="str">
        <f>IF(Table1333[[#This Row],[Loc ID]]="","",VLOOKUP(Table1333[[#This Row],[Loc ID]],Loc_ID[],2,0))</f>
        <v>Others</v>
      </c>
      <c r="G14" s="74" t="s">
        <v>260</v>
      </c>
      <c r="H14" s="21" t="s">
        <v>230</v>
      </c>
      <c r="I14" s="21" t="s">
        <v>261</v>
      </c>
      <c r="J14" s="21" t="s">
        <v>262</v>
      </c>
      <c r="K14" s="21" t="s">
        <v>263</v>
      </c>
      <c r="L14" s="62">
        <v>45835</v>
      </c>
      <c r="M14" s="21" t="s">
        <v>94</v>
      </c>
      <c r="N14" s="21" t="str">
        <f>IF(Table1333[[#This Row],[Date]]="","",(TEXT(Table1333[[#This Row],[Date]],"MMM")))</f>
        <v>Jun</v>
      </c>
      <c r="O14" s="21" t="str">
        <f>IF(Table1333[[#This Row],[Target Date]]="","",(TEXT(Table1333[[#This Row],[Target Date]],"MMM")))</f>
        <v>Jun</v>
      </c>
    </row>
    <row r="15" spans="1:17" ht="30" x14ac:dyDescent="0.25">
      <c r="A15" s="18">
        <f>IF((Table1333[[#This Row],[Date]]=""),"",ROW(A12))</f>
        <v>12</v>
      </c>
      <c r="B15" s="72">
        <v>45843</v>
      </c>
      <c r="C15" s="69">
        <v>0.41180555555555554</v>
      </c>
      <c r="D15" s="21" t="s">
        <v>264</v>
      </c>
      <c r="E15" s="21">
        <v>0.4</v>
      </c>
      <c r="F15" s="22" t="str">
        <f>IF(Table1333[[#This Row],[Loc ID]]="","",VLOOKUP(Table1333[[#This Row],[Loc ID]],Loc_ID[],2,0))</f>
        <v>Compliance</v>
      </c>
      <c r="G15" s="74" t="s">
        <v>265</v>
      </c>
      <c r="H15" s="21" t="s">
        <v>230</v>
      </c>
      <c r="I15" s="21" t="s">
        <v>266</v>
      </c>
      <c r="J15" s="21" t="s">
        <v>267</v>
      </c>
      <c r="K15" s="21" t="s">
        <v>249</v>
      </c>
      <c r="L15" s="62">
        <v>45863</v>
      </c>
      <c r="M15" s="21" t="s">
        <v>94</v>
      </c>
      <c r="N15" s="21" t="str">
        <f>IF(Table1333[[#This Row],[Date]]="","",(TEXT(Table1333[[#This Row],[Date]],"MMM")))</f>
        <v>Jul</v>
      </c>
      <c r="O15" s="21" t="str">
        <f>IF(Table1333[[#This Row],[Target Date]]="","",(TEXT(Table1333[[#This Row],[Target Date]],"MMM")))</f>
        <v>Jul</v>
      </c>
    </row>
    <row r="16" spans="1:17" ht="30" x14ac:dyDescent="0.25">
      <c r="A16" s="18">
        <f>IF((Table1333[[#This Row],[Date]]=""),"",ROW(A13))</f>
        <v>13</v>
      </c>
      <c r="B16" s="70">
        <v>45836</v>
      </c>
      <c r="C16" s="69">
        <v>0.41666666666666669</v>
      </c>
      <c r="D16" s="21" t="s">
        <v>268</v>
      </c>
      <c r="E16" s="21">
        <v>4</v>
      </c>
      <c r="F16" s="22" t="str">
        <f>IF(Table1333[[#This Row],[Loc ID]]="","",VLOOKUP(Table1333[[#This Row],[Loc ID]],Loc_ID[],2,0))</f>
        <v>WasteOil&amp;Separator Area</v>
      </c>
      <c r="G16" s="68" t="s">
        <v>269</v>
      </c>
      <c r="H16" s="21" t="s">
        <v>230</v>
      </c>
      <c r="I16" s="21" t="s">
        <v>231</v>
      </c>
      <c r="J16" s="21" t="s">
        <v>270</v>
      </c>
      <c r="K16" s="21" t="s">
        <v>41</v>
      </c>
      <c r="L16" s="62">
        <v>45847</v>
      </c>
      <c r="M16" s="21" t="s">
        <v>50</v>
      </c>
      <c r="N16" s="21" t="str">
        <f>IF(Table1333[[#This Row],[Date]]="","",(TEXT(Table1333[[#This Row],[Date]],"MMM")))</f>
        <v>Jun</v>
      </c>
      <c r="O16" s="21" t="str">
        <f>IF(Table1333[[#This Row],[Target Date]]="","",(TEXT(Table1333[[#This Row],[Target Date]],"MMM")))</f>
        <v>Jul</v>
      </c>
    </row>
    <row r="17" spans="1:17" ht="30" x14ac:dyDescent="0.25">
      <c r="A17" s="18">
        <f>IF((Table1333[[#This Row],[Date]]=""),"",ROW(A14))</f>
        <v>14</v>
      </c>
      <c r="B17" s="70">
        <v>45836</v>
      </c>
      <c r="C17" s="69">
        <v>0.4861111111111111</v>
      </c>
      <c r="D17" s="21" t="s">
        <v>268</v>
      </c>
      <c r="E17" s="21">
        <v>13</v>
      </c>
      <c r="F17" s="22" t="str">
        <f>IF(Table1333[[#This Row],[Loc ID]]="","",VLOOKUP(Table1333[[#This Row],[Loc ID]],Loc_ID[],2,0))</f>
        <v>NTF Fences</v>
      </c>
      <c r="G17" s="68" t="s">
        <v>271</v>
      </c>
      <c r="H17" s="21" t="s">
        <v>230</v>
      </c>
      <c r="I17" s="21" t="s">
        <v>231</v>
      </c>
      <c r="J17" s="21" t="s">
        <v>232</v>
      </c>
      <c r="K17" s="21" t="s">
        <v>174</v>
      </c>
      <c r="L17" s="62">
        <v>45842</v>
      </c>
      <c r="M17" s="21" t="s">
        <v>94</v>
      </c>
      <c r="N17" s="21" t="str">
        <f>IF(Table1333[[#This Row],[Date]]="","",(TEXT(Table1333[[#This Row],[Date]],"MMM")))</f>
        <v>Jun</v>
      </c>
      <c r="O17" s="21" t="str">
        <f>IF(Table1333[[#This Row],[Target Date]]="","",(TEXT(Table1333[[#This Row],[Target Date]],"MMM")))</f>
        <v>Jul</v>
      </c>
    </row>
    <row r="18" spans="1:17" ht="30" x14ac:dyDescent="0.25">
      <c r="A18" s="18">
        <f>IF((Table1333[[#This Row],[Date]]=""),"",ROW(A15))</f>
        <v>15</v>
      </c>
      <c r="B18" s="70">
        <v>45836</v>
      </c>
      <c r="C18" s="69">
        <v>0.4236111111111111</v>
      </c>
      <c r="D18" s="21" t="s">
        <v>268</v>
      </c>
      <c r="E18" s="21">
        <v>13</v>
      </c>
      <c r="F18" s="22" t="str">
        <f>IF(Table1333[[#This Row],[Loc ID]]="","",VLOOKUP(Table1333[[#This Row],[Loc ID]],Loc_ID[],2,0))</f>
        <v>NTF Fences</v>
      </c>
      <c r="G18" s="68" t="s">
        <v>272</v>
      </c>
      <c r="H18" s="21" t="s">
        <v>230</v>
      </c>
      <c r="I18" s="21" t="s">
        <v>231</v>
      </c>
      <c r="J18" s="21" t="s">
        <v>273</v>
      </c>
      <c r="K18" s="21" t="s">
        <v>274</v>
      </c>
      <c r="L18" s="62">
        <v>45900</v>
      </c>
      <c r="M18" s="21" t="s">
        <v>50</v>
      </c>
      <c r="N18" s="21" t="str">
        <f>IF(Table1333[[#This Row],[Date]]="","",(TEXT(Table1333[[#This Row],[Date]],"MMM")))</f>
        <v>Jun</v>
      </c>
      <c r="O18" s="21" t="str">
        <f>IF(Table1333[[#This Row],[Target Date]]="","",(TEXT(Table1333[[#This Row],[Target Date]],"MMM")))</f>
        <v>Aug</v>
      </c>
    </row>
    <row r="19" spans="1:17" ht="45" x14ac:dyDescent="0.25">
      <c r="A19" s="18">
        <f>IF((Table1333[[#This Row],[Date]]=""),"",ROW(A16))</f>
        <v>16</v>
      </c>
      <c r="B19" s="72">
        <v>45847</v>
      </c>
      <c r="C19" s="69">
        <v>0.45833333333333331</v>
      </c>
      <c r="D19" s="21" t="s">
        <v>268</v>
      </c>
      <c r="E19" s="21">
        <v>3</v>
      </c>
      <c r="F19" s="22" t="str">
        <f>IF(Table1333[[#This Row],[Loc ID]]="","",VLOOKUP(Table1333[[#This Row],[Loc ID]],Loc_ID[],2,0))</f>
        <v>DFS,TTFS area</v>
      </c>
      <c r="G19" s="74" t="s">
        <v>275</v>
      </c>
      <c r="H19" s="21" t="s">
        <v>230</v>
      </c>
      <c r="I19" s="21" t="s">
        <v>276</v>
      </c>
      <c r="J19" s="21" t="s">
        <v>277</v>
      </c>
      <c r="K19" s="21" t="s">
        <v>278</v>
      </c>
      <c r="L19" s="62">
        <v>45847</v>
      </c>
      <c r="M19" s="21" t="s">
        <v>94</v>
      </c>
      <c r="N19" s="21" t="str">
        <f>IF(Table1333[[#This Row],[Date]]="","",(TEXT(Table1333[[#This Row],[Date]],"MMM")))</f>
        <v>Jul</v>
      </c>
      <c r="O19" s="21" t="str">
        <f>IF(Table1333[[#This Row],[Target Date]]="","",(TEXT(Table1333[[#This Row],[Target Date]],"MMM")))</f>
        <v>Jul</v>
      </c>
    </row>
    <row r="20" spans="1:17" ht="30" x14ac:dyDescent="0.25">
      <c r="A20" s="18">
        <f>IF((Table1333[[#This Row],[Date]]=""),"",ROW(A17))</f>
        <v>17</v>
      </c>
      <c r="B20" s="72">
        <v>45856</v>
      </c>
      <c r="C20" s="69">
        <v>0.58333333333333337</v>
      </c>
      <c r="D20" s="21" t="s">
        <v>268</v>
      </c>
      <c r="E20" s="21">
        <v>5</v>
      </c>
      <c r="F20" s="22" t="str">
        <f>IF(Table1333[[#This Row],[Loc ID]]="","",VLOOKUP(Table1333[[#This Row],[Loc ID]],Loc_ID[],2,0))</f>
        <v>Lube Shed Area &amp; Lab area</v>
      </c>
      <c r="G20" s="74" t="s">
        <v>279</v>
      </c>
      <c r="H20" s="21" t="s">
        <v>230</v>
      </c>
      <c r="I20" s="21" t="s">
        <v>280</v>
      </c>
      <c r="J20" s="21" t="s">
        <v>281</v>
      </c>
      <c r="K20" s="21" t="s">
        <v>282</v>
      </c>
      <c r="L20" s="62">
        <v>45856</v>
      </c>
      <c r="M20" s="21" t="s">
        <v>94</v>
      </c>
      <c r="N20" s="21" t="str">
        <f>IF(Table1333[[#This Row],[Date]]="","",(TEXT(Table1333[[#This Row],[Date]],"MMM")))</f>
        <v>Jul</v>
      </c>
      <c r="O20" s="21" t="str">
        <f>IF(Table1333[[#This Row],[Target Date]]="","",(TEXT(Table1333[[#This Row],[Target Date]],"MMM")))</f>
        <v>Jul</v>
      </c>
    </row>
    <row r="21" spans="1:17" ht="15.75" x14ac:dyDescent="0.25">
      <c r="A21" s="18">
        <f>IF((Table1333[[#This Row],[Date]]=""),"",ROW(A18))</f>
        <v>18</v>
      </c>
      <c r="B21" s="70">
        <v>45836</v>
      </c>
      <c r="C21" s="69">
        <v>0.4236111111111111</v>
      </c>
      <c r="D21" s="21" t="s">
        <v>283</v>
      </c>
      <c r="E21" s="21">
        <v>0</v>
      </c>
      <c r="F21" s="22" t="str">
        <f>IF(Table1333[[#This Row],[Loc ID]]="","",VLOOKUP(Table1333[[#This Row],[Loc ID]],Loc_ID[],2,0))</f>
        <v>Others</v>
      </c>
      <c r="G21" s="68" t="s">
        <v>284</v>
      </c>
      <c r="H21" s="21" t="s">
        <v>230</v>
      </c>
      <c r="I21" s="21" t="s">
        <v>231</v>
      </c>
      <c r="J21" s="21" t="s">
        <v>285</v>
      </c>
      <c r="K21" s="21" t="s">
        <v>238</v>
      </c>
      <c r="L21" s="62">
        <v>45858</v>
      </c>
      <c r="M21" s="21" t="s">
        <v>50</v>
      </c>
      <c r="N21" s="21" t="str">
        <f>IF(Table1333[[#This Row],[Date]]="","",(TEXT(Table1333[[#This Row],[Date]],"MMM")))</f>
        <v>Jun</v>
      </c>
      <c r="O21" s="21" t="str">
        <f>IF(Table1333[[#This Row],[Target Date]]="","",(TEXT(Table1333[[#This Row],[Target Date]],"MMM")))</f>
        <v>Jul</v>
      </c>
    </row>
    <row r="22" spans="1:17" ht="45" x14ac:dyDescent="0.25">
      <c r="A22" s="18">
        <f>IF((Table1333[[#This Row],[Date]]=""),"",ROW(A19))</f>
        <v>19</v>
      </c>
      <c r="B22" s="72">
        <v>45811</v>
      </c>
      <c r="C22" s="69">
        <v>0.46875</v>
      </c>
      <c r="D22" s="21" t="s">
        <v>286</v>
      </c>
      <c r="E22" s="21">
        <v>15.1</v>
      </c>
      <c r="F22" s="22" t="str">
        <f>IF(Table1333[[#This Row],[Loc ID]]="","",VLOOKUP(Table1333[[#This Row],[Loc ID]],Loc_ID[],2,0))</f>
        <v>Operation gate next to canteen</v>
      </c>
      <c r="G22" s="74" t="s">
        <v>287</v>
      </c>
      <c r="H22" s="21" t="s">
        <v>230</v>
      </c>
      <c r="I22" s="21" t="s">
        <v>231</v>
      </c>
      <c r="J22" s="21" t="s">
        <v>288</v>
      </c>
      <c r="K22" s="21" t="s">
        <v>41</v>
      </c>
      <c r="L22" s="62">
        <v>45812</v>
      </c>
      <c r="M22" s="21" t="s">
        <v>94</v>
      </c>
      <c r="N22" s="21" t="str">
        <f>IF(Table1333[[#This Row],[Date]]="","",(TEXT(Table1333[[#This Row],[Date]],"MMM")))</f>
        <v>Jun</v>
      </c>
      <c r="O22" s="21" t="str">
        <f>IF(Table1333[[#This Row],[Target Date]]="","",(TEXT(Table1333[[#This Row],[Target Date]],"MMM")))</f>
        <v>Jun</v>
      </c>
    </row>
    <row r="23" spans="1:17" ht="30" x14ac:dyDescent="0.25">
      <c r="A23" s="18">
        <f>IF((Table1333[[#This Row],[Date]]=""),"",ROW(A20))</f>
        <v>20</v>
      </c>
      <c r="B23" s="70">
        <v>45837</v>
      </c>
      <c r="C23" s="69">
        <v>0.41666666666666669</v>
      </c>
      <c r="D23" s="21" t="s">
        <v>289</v>
      </c>
      <c r="E23" s="21">
        <v>2</v>
      </c>
      <c r="F23" s="22" t="str">
        <f>IF(Table1333[[#This Row],[Loc ID]]="","",VLOOKUP(Table1333[[#This Row],[Loc ID]],Loc_ID[],2,0))</f>
        <v>LPG &amp; Cashier Area</v>
      </c>
      <c r="G23" s="68" t="s">
        <v>290</v>
      </c>
      <c r="H23" s="21" t="s">
        <v>230</v>
      </c>
      <c r="I23" s="21" t="s">
        <v>231</v>
      </c>
      <c r="J23" s="21" t="s">
        <v>291</v>
      </c>
      <c r="K23" s="21" t="s">
        <v>292</v>
      </c>
      <c r="L23" s="62">
        <v>45869</v>
      </c>
      <c r="M23" s="21" t="s">
        <v>50</v>
      </c>
      <c r="N23" s="21" t="str">
        <f>IF(Table1333[[#This Row],[Date]]="","",(TEXT(Table1333[[#This Row],[Date]],"MMM")))</f>
        <v>Jun</v>
      </c>
      <c r="O23" s="21" t="str">
        <f>IF(Table1333[[#This Row],[Target Date]]="","",(TEXT(Table1333[[#This Row],[Target Date]],"MMM")))</f>
        <v>Jul</v>
      </c>
    </row>
    <row r="24" spans="1:17" x14ac:dyDescent="0.25">
      <c r="A24" s="18">
        <f>IF((Table1333[[#This Row],[Date]]=""),"",ROW(A21))</f>
        <v>21</v>
      </c>
      <c r="B24" s="72">
        <v>45820</v>
      </c>
      <c r="C24" s="69">
        <v>0.44513888888888886</v>
      </c>
      <c r="D24" s="21" t="s">
        <v>293</v>
      </c>
      <c r="E24" s="21">
        <v>15</v>
      </c>
      <c r="F24" s="22" t="str">
        <f>IF(Table1333[[#This Row],[Loc ID]]="","",VLOOKUP(Table1333[[#This Row],[Loc ID]],Loc_ID[],2,0))</f>
        <v>Admin Office</v>
      </c>
      <c r="G24" s="74" t="s">
        <v>294</v>
      </c>
      <c r="H24" s="21" t="s">
        <v>230</v>
      </c>
      <c r="I24" s="21" t="s">
        <v>295</v>
      </c>
      <c r="J24" s="21" t="s">
        <v>296</v>
      </c>
      <c r="K24" s="21" t="s">
        <v>41</v>
      </c>
      <c r="L24" s="62">
        <v>45820</v>
      </c>
      <c r="M24" s="21" t="s">
        <v>94</v>
      </c>
      <c r="N24" s="21" t="str">
        <f>IF(Table1333[[#This Row],[Date]]="","",(TEXT(Table1333[[#This Row],[Date]],"MMM")))</f>
        <v>Jun</v>
      </c>
      <c r="O24" s="21" t="str">
        <f>IF(Table1333[[#This Row],[Target Date]]="","",(TEXT(Table1333[[#This Row],[Target Date]],"MMM")))</f>
        <v>Jun</v>
      </c>
    </row>
    <row r="25" spans="1:17" ht="60" x14ac:dyDescent="0.25">
      <c r="A25" s="18">
        <f>IF((Table1333[[#This Row],[Date]]=""),"",ROW(A22))</f>
        <v>22</v>
      </c>
      <c r="B25" s="72">
        <v>45827</v>
      </c>
      <c r="C25" s="69">
        <v>0.43333333333333335</v>
      </c>
      <c r="D25" s="21" t="s">
        <v>297</v>
      </c>
      <c r="E25" s="21">
        <v>12</v>
      </c>
      <c r="F25" s="22" t="str">
        <f>IF(Table1333[[#This Row],[Loc ID]]="","",VLOOKUP(Table1333[[#This Row],[Loc ID]],Loc_ID[],2,0))</f>
        <v>NTF</v>
      </c>
      <c r="G25" s="74" t="s">
        <v>298</v>
      </c>
      <c r="H25" s="21" t="s">
        <v>230</v>
      </c>
      <c r="I25" s="21" t="s">
        <v>299</v>
      </c>
      <c r="J25" s="21" t="s">
        <v>300</v>
      </c>
      <c r="K25" s="21" t="s">
        <v>238</v>
      </c>
      <c r="L25" s="62">
        <v>45841</v>
      </c>
      <c r="M25" s="21" t="s">
        <v>50</v>
      </c>
      <c r="N25" s="21" t="str">
        <f>IF(Table1333[[#This Row],[Date]]="","",(TEXT(Table1333[[#This Row],[Date]],"MMM")))</f>
        <v>Jun</v>
      </c>
      <c r="O25" s="21" t="str">
        <f>IF(Table1333[[#This Row],[Target Date]]="","",(TEXT(Table1333[[#This Row],[Target Date]],"MMM")))</f>
        <v>Jul</v>
      </c>
    </row>
    <row r="26" spans="1:17" ht="75" x14ac:dyDescent="0.25">
      <c r="A26" s="18">
        <f>IF((Table1333[[#This Row],[Date]]=""),"",ROW(A23))</f>
        <v>23</v>
      </c>
      <c r="B26" s="72">
        <v>45838</v>
      </c>
      <c r="C26" s="69">
        <v>0.63541666666666663</v>
      </c>
      <c r="D26" s="21" t="s">
        <v>301</v>
      </c>
      <c r="E26" s="21" t="s">
        <v>302</v>
      </c>
      <c r="F26" s="22" t="str">
        <f>IF(Table1333[[#This Row],[Loc ID]]="","",VLOOKUP(Table1333[[#This Row],[Loc ID]],Loc_ID[],2,0))</f>
        <v>Vehicles &amp; Transportation</v>
      </c>
      <c r="G26" s="74" t="s">
        <v>303</v>
      </c>
      <c r="H26" s="21" t="s">
        <v>230</v>
      </c>
      <c r="I26" s="21" t="s">
        <v>304</v>
      </c>
      <c r="J26" s="21" t="s">
        <v>305</v>
      </c>
      <c r="K26" s="21" t="s">
        <v>114</v>
      </c>
      <c r="L26" s="62">
        <v>45841</v>
      </c>
      <c r="M26" s="21" t="s">
        <v>129</v>
      </c>
      <c r="N26" s="21" t="str">
        <f>IF(Table1333[[#This Row],[Date]]="","",(TEXT(Table1333[[#This Row],[Date]],"MMM")))</f>
        <v>Jun</v>
      </c>
      <c r="O26" s="21" t="str">
        <f>IF(Table1333[[#This Row],[Target Date]]="","",(TEXT(Table1333[[#This Row],[Target Date]],"MMM")))</f>
        <v>Jul</v>
      </c>
    </row>
    <row r="27" spans="1:17" ht="60" x14ac:dyDescent="0.25">
      <c r="A27" s="18">
        <f>IF((Table1333[[#This Row],[Date]]=""),"",ROW(A24))</f>
        <v>24</v>
      </c>
      <c r="B27" s="72">
        <v>45838</v>
      </c>
      <c r="C27" s="69">
        <v>0.40486111111111112</v>
      </c>
      <c r="D27" s="21" t="s">
        <v>306</v>
      </c>
      <c r="E27" s="21">
        <v>0</v>
      </c>
      <c r="F27" s="22" t="str">
        <f>IF(Table1333[[#This Row],[Loc ID]]="","",VLOOKUP(Table1333[[#This Row],[Loc ID]],Loc_ID[],2,0))</f>
        <v>Others</v>
      </c>
      <c r="G27" s="74" t="s">
        <v>307</v>
      </c>
      <c r="H27" s="21" t="s">
        <v>230</v>
      </c>
      <c r="I27" s="21" t="s">
        <v>308</v>
      </c>
      <c r="J27" s="21" t="s">
        <v>309</v>
      </c>
      <c r="K27" s="21" t="s">
        <v>310</v>
      </c>
      <c r="L27" s="62">
        <v>45842</v>
      </c>
      <c r="M27" s="21" t="s">
        <v>129</v>
      </c>
      <c r="N27" s="21" t="str">
        <f>IF(Table1333[[#This Row],[Date]]="","",(TEXT(Table1333[[#This Row],[Date]],"MMM")))</f>
        <v>Jun</v>
      </c>
      <c r="O27" s="21" t="str">
        <f>IF(Table1333[[#This Row],[Target Date]]="","",(TEXT(Table1333[[#This Row],[Target Date]],"MMM")))</f>
        <v>Jul</v>
      </c>
      <c r="Q27" s="4" t="s">
        <v>311</v>
      </c>
    </row>
    <row r="28" spans="1:17" ht="30" x14ac:dyDescent="0.25">
      <c r="A28" s="18">
        <f>IF((Table1333[[#This Row],[Date]]=""),"",ROW(A25))</f>
        <v>25</v>
      </c>
      <c r="B28" s="72">
        <v>45847</v>
      </c>
      <c r="C28" s="69">
        <v>0.41666666666666669</v>
      </c>
      <c r="D28" s="21" t="s">
        <v>312</v>
      </c>
      <c r="E28" s="21">
        <v>0.4</v>
      </c>
      <c r="F28" s="22" t="str">
        <f>IF(Table1333[[#This Row],[Loc ID]]="","",VLOOKUP(Table1333[[#This Row],[Loc ID]],Loc_ID[],2,0))</f>
        <v>Compliance</v>
      </c>
      <c r="G28" s="74" t="s">
        <v>313</v>
      </c>
      <c r="H28" s="21" t="s">
        <v>230</v>
      </c>
      <c r="I28" s="21" t="s">
        <v>231</v>
      </c>
      <c r="J28" s="21" t="s">
        <v>314</v>
      </c>
      <c r="K28" s="21" t="s">
        <v>41</v>
      </c>
      <c r="L28" s="62">
        <v>45869</v>
      </c>
      <c r="M28" s="21" t="s">
        <v>50</v>
      </c>
      <c r="N28" s="21" t="str">
        <f>IF(Table1333[[#This Row],[Date]]="","",(TEXT(Table1333[[#This Row],[Date]],"MMM")))</f>
        <v>Jul</v>
      </c>
      <c r="O28" s="21" t="str">
        <f>IF(Table1333[[#This Row],[Target Date]]="","",(TEXT(Table1333[[#This Row],[Target Date]],"MMM")))</f>
        <v>Jul</v>
      </c>
    </row>
    <row r="29" spans="1:17" ht="45" x14ac:dyDescent="0.25">
      <c r="A29" s="18">
        <f>IF((Table1333[[#This Row],[Date]]=""),"",ROW(A26))</f>
        <v>26</v>
      </c>
      <c r="B29" s="72">
        <v>45858</v>
      </c>
      <c r="C29" s="69">
        <v>0.375</v>
      </c>
      <c r="D29" s="21" t="s">
        <v>312</v>
      </c>
      <c r="E29" s="21">
        <v>1</v>
      </c>
      <c r="F29" s="22" t="str">
        <f>IF(Table1333[[#This Row],[Loc ID]]="","",VLOOKUP(Table1333[[#This Row],[Loc ID]],Loc_ID[],2,0))</f>
        <v>Operation Office Area</v>
      </c>
      <c r="G29" s="74" t="s">
        <v>315</v>
      </c>
      <c r="H29" s="21" t="s">
        <v>316</v>
      </c>
      <c r="I29" s="21" t="s">
        <v>231</v>
      </c>
      <c r="J29" s="21" t="s">
        <v>317</v>
      </c>
      <c r="K29" s="21" t="s">
        <v>132</v>
      </c>
      <c r="L29" s="62">
        <v>45859</v>
      </c>
      <c r="M29" s="21" t="s">
        <v>94</v>
      </c>
      <c r="N29" s="21" t="str">
        <f>IF(Table1333[[#This Row],[Date]]="","",(TEXT(Table1333[[#This Row],[Date]],"MMM")))</f>
        <v>Jul</v>
      </c>
      <c r="O29" s="21" t="str">
        <f>IF(Table1333[[#This Row],[Target Date]]="","",(TEXT(Table1333[[#This Row],[Target Date]],"MMM")))</f>
        <v>Jul</v>
      </c>
    </row>
    <row r="30" spans="1:17" s="1" customFormat="1" ht="30" x14ac:dyDescent="0.25">
      <c r="A30" s="18">
        <f>IF((Table1333[[#This Row],[Date]]=""),"",ROW(A27))</f>
        <v>27</v>
      </c>
      <c r="B30" s="72">
        <v>45839</v>
      </c>
      <c r="C30" s="69">
        <v>0.59375</v>
      </c>
      <c r="D30" s="21" t="s">
        <v>312</v>
      </c>
      <c r="E30" s="21">
        <v>0.4</v>
      </c>
      <c r="F30" s="22" t="str">
        <f>IF(Table1333[[#This Row],[Loc ID]]="","",VLOOKUP(Table1333[[#This Row],[Loc ID]],Loc_ID[],2,0))</f>
        <v>Compliance</v>
      </c>
      <c r="G30" s="74" t="s">
        <v>318</v>
      </c>
      <c r="H30" s="21" t="s">
        <v>230</v>
      </c>
      <c r="I30" s="21" t="s">
        <v>231</v>
      </c>
      <c r="J30" s="21" t="s">
        <v>319</v>
      </c>
      <c r="K30" s="21" t="s">
        <v>320</v>
      </c>
      <c r="L30" s="62">
        <v>45848</v>
      </c>
      <c r="M30" s="21" t="s">
        <v>50</v>
      </c>
      <c r="N30" s="21" t="str">
        <f>IF(Table1333[[#This Row],[Date]]="","",(TEXT(Table1333[[#This Row],[Date]],"MMM")))</f>
        <v>Jul</v>
      </c>
      <c r="O30" s="21" t="str">
        <f>IF(Table1333[[#This Row],[Target Date]]="","",(TEXT(Table1333[[#This Row],[Target Date]],"MMM")))</f>
        <v>Jul</v>
      </c>
      <c r="Q30" s="4"/>
    </row>
    <row r="31" spans="1:17" ht="30" x14ac:dyDescent="0.25">
      <c r="A31" s="18">
        <f>IF((Table1333[[#This Row],[Date]]=""),"",ROW(A28))</f>
        <v>28</v>
      </c>
      <c r="B31" s="70">
        <v>45842</v>
      </c>
      <c r="C31" s="69">
        <v>0.41666666666666669</v>
      </c>
      <c r="D31" s="21" t="s">
        <v>321</v>
      </c>
      <c r="E31" s="21">
        <v>9</v>
      </c>
      <c r="F31" s="22" t="str">
        <f>IF(Table1333[[#This Row],[Loc ID]]="","",VLOOKUP(Table1333[[#This Row],[Loc ID]],Loc_ID[],2,0))</f>
        <v>F.Pump &amp; Foam area</v>
      </c>
      <c r="G31" s="68" t="s">
        <v>322</v>
      </c>
      <c r="H31" s="21" t="s">
        <v>230</v>
      </c>
      <c r="I31" s="21" t="s">
        <v>231</v>
      </c>
      <c r="J31" s="21" t="s">
        <v>323</v>
      </c>
      <c r="K31" s="21" t="s">
        <v>174</v>
      </c>
      <c r="L31" s="62">
        <v>45884</v>
      </c>
      <c r="M31" s="21" t="s">
        <v>50</v>
      </c>
      <c r="N31" s="21" t="str">
        <f>IF(Table1333[[#This Row],[Date]]="","",(TEXT(Table1333[[#This Row],[Date]],"MMM")))</f>
        <v>Jul</v>
      </c>
      <c r="O31" s="21" t="str">
        <f>IF(Table1333[[#This Row],[Target Date]]="","",(TEXT(Table1333[[#This Row],[Target Date]],"MMM")))</f>
        <v>Aug</v>
      </c>
    </row>
    <row r="32" spans="1:17" s="1" customFormat="1" ht="28.5" x14ac:dyDescent="0.2">
      <c r="A32" s="18">
        <f>IF((Table1333[[#This Row],[Date]]=""),"",ROW(A29))</f>
        <v>29</v>
      </c>
      <c r="B32" s="70">
        <v>45836</v>
      </c>
      <c r="C32" s="69">
        <v>0.41666666666666669</v>
      </c>
      <c r="D32" s="21" t="s">
        <v>324</v>
      </c>
      <c r="E32" s="21">
        <v>1</v>
      </c>
      <c r="F32" s="22" t="str">
        <f>IF(Table1333[[#This Row],[Loc ID]]="","",VLOOKUP(Table1333[[#This Row],[Loc ID]],Loc_ID[],2,0))</f>
        <v>Operation Office Area</v>
      </c>
      <c r="G32" s="68" t="s">
        <v>325</v>
      </c>
      <c r="H32" s="21" t="s">
        <v>230</v>
      </c>
      <c r="I32" s="21" t="s">
        <v>231</v>
      </c>
      <c r="J32" s="21" t="s">
        <v>326</v>
      </c>
      <c r="K32" s="21" t="s">
        <v>320</v>
      </c>
      <c r="L32" s="62">
        <v>45900</v>
      </c>
      <c r="M32" s="21" t="s">
        <v>50</v>
      </c>
      <c r="N32" s="21" t="str">
        <f>IF(Table1333[[#This Row],[Date]]="","",(TEXT(Table1333[[#This Row],[Date]],"MMM")))</f>
        <v>Jun</v>
      </c>
      <c r="O32" s="21" t="str">
        <f>IF(Table1333[[#This Row],[Target Date]]="","",(TEXT(Table1333[[#This Row],[Target Date]],"MMM")))</f>
        <v>Aug</v>
      </c>
      <c r="Q32" s="4"/>
    </row>
    <row r="33" spans="1:17" ht="45" x14ac:dyDescent="0.25">
      <c r="A33" s="18">
        <f>IF((Table1333[[#This Row],[Date]]=""),"",ROW(A30))</f>
        <v>30</v>
      </c>
      <c r="B33" s="70">
        <v>45836</v>
      </c>
      <c r="C33" s="69">
        <v>0.4861111111111111</v>
      </c>
      <c r="D33" s="21" t="s">
        <v>327</v>
      </c>
      <c r="E33" s="21">
        <v>10</v>
      </c>
      <c r="F33" s="22" t="str">
        <f>IF(Table1333[[#This Row],[Loc ID]]="","",VLOOKUP(Table1333[[#This Row],[Loc ID]],Loc_ID[],2,0))</f>
        <v>Nmanifold &amp; Pump Shed</v>
      </c>
      <c r="G33" s="68" t="s">
        <v>328</v>
      </c>
      <c r="H33" s="21" t="s">
        <v>230</v>
      </c>
      <c r="I33" s="21" t="s">
        <v>231</v>
      </c>
      <c r="J33" s="21" t="s">
        <v>329</v>
      </c>
      <c r="K33" s="21" t="s">
        <v>114</v>
      </c>
      <c r="L33" s="62">
        <v>45845</v>
      </c>
      <c r="M33" s="21" t="s">
        <v>94</v>
      </c>
      <c r="N33" s="21" t="str">
        <f>IF(Table1333[[#This Row],[Date]]="","",(TEXT(Table1333[[#This Row],[Date]],"MMM")))</f>
        <v>Jun</v>
      </c>
      <c r="O33" s="21" t="str">
        <f>IF(Table1333[[#This Row],[Target Date]]="","",(TEXT(Table1333[[#This Row],[Target Date]],"MMM")))</f>
        <v>Jul</v>
      </c>
    </row>
    <row r="34" spans="1:17" s="1" customFormat="1" ht="30" x14ac:dyDescent="0.2">
      <c r="A34" s="18">
        <f>IF((Table1333[[#This Row],[Date]]=""),"",ROW(A31))</f>
        <v>31</v>
      </c>
      <c r="B34" s="71">
        <v>45837</v>
      </c>
      <c r="C34" s="69">
        <v>0.4236111111111111</v>
      </c>
      <c r="D34" s="21" t="s">
        <v>327</v>
      </c>
      <c r="E34" s="21">
        <v>1</v>
      </c>
      <c r="F34" s="22" t="str">
        <f>IF(Table1333[[#This Row],[Loc ID]]="","",VLOOKUP(Table1333[[#This Row],[Loc ID]],Loc_ID[],2,0))</f>
        <v>Operation Office Area</v>
      </c>
      <c r="G34" s="73" t="s">
        <v>330</v>
      </c>
      <c r="H34" s="21" t="s">
        <v>230</v>
      </c>
      <c r="I34" s="21" t="s">
        <v>231</v>
      </c>
      <c r="J34" s="21" t="s">
        <v>291</v>
      </c>
      <c r="K34" s="21" t="s">
        <v>320</v>
      </c>
      <c r="L34" s="62">
        <v>45869</v>
      </c>
      <c r="M34" s="21" t="s">
        <v>50</v>
      </c>
      <c r="N34" s="21" t="str">
        <f>IF(Table1333[[#This Row],[Date]]="","",(TEXT(Table1333[[#This Row],[Date]],"MMM")))</f>
        <v>Jun</v>
      </c>
      <c r="O34" s="21" t="str">
        <f>IF(Table1333[[#This Row],[Target Date]]="","",(TEXT(Table1333[[#This Row],[Target Date]],"MMM")))</f>
        <v>Jul</v>
      </c>
      <c r="Q34" s="4"/>
    </row>
    <row r="35" spans="1:17" s="1" customFormat="1" x14ac:dyDescent="0.2">
      <c r="A35" s="18">
        <f>IF((Table1333[[#This Row],[Date]]=""),"",ROW(A32))</f>
        <v>32</v>
      </c>
      <c r="B35" s="71">
        <v>45839</v>
      </c>
      <c r="C35" s="69">
        <v>0.4236111111111111</v>
      </c>
      <c r="D35" s="19" t="s">
        <v>327</v>
      </c>
      <c r="E35" s="21">
        <v>1</v>
      </c>
      <c r="F35" s="22" t="str">
        <f>IF(Table1333[[#This Row],[Loc ID]]="","",VLOOKUP(Table1333[[#This Row],[Loc ID]],Loc_ID[],2,0))</f>
        <v>Operation Office Area</v>
      </c>
      <c r="G35" s="73" t="s">
        <v>331</v>
      </c>
      <c r="H35" s="21" t="s">
        <v>230</v>
      </c>
      <c r="I35" s="21" t="s">
        <v>231</v>
      </c>
      <c r="J35" s="21" t="s">
        <v>332</v>
      </c>
      <c r="K35" s="21" t="s">
        <v>238</v>
      </c>
      <c r="L35" s="62">
        <v>45845</v>
      </c>
      <c r="M35" s="21" t="s">
        <v>94</v>
      </c>
      <c r="N35" s="21" t="str">
        <f>IF(Table1333[[#This Row],[Date]]="","",(TEXT(Table1333[[#This Row],[Date]],"MMM")))</f>
        <v>Jul</v>
      </c>
      <c r="O35" s="21" t="str">
        <f>IF(Table1333[[#This Row],[Target Date]]="","",(TEXT(Table1333[[#This Row],[Target Date]],"MMM")))</f>
        <v>Jul</v>
      </c>
      <c r="Q35" s="4"/>
    </row>
    <row r="36" spans="1:17" ht="30" x14ac:dyDescent="0.25">
      <c r="A36" s="18">
        <f>IF((Table1333[[#This Row],[Date]]=""),"",ROW(A33))</f>
        <v>33</v>
      </c>
      <c r="B36" s="71">
        <v>45838</v>
      </c>
      <c r="C36" s="69">
        <v>0.41666666666666669</v>
      </c>
      <c r="D36" s="21" t="s">
        <v>333</v>
      </c>
      <c r="E36" s="21">
        <v>0.3</v>
      </c>
      <c r="F36" s="22" t="str">
        <f>IF(Table1333[[#This Row],[Loc ID]]="","",VLOOKUP(Table1333[[#This Row],[Loc ID]],Loc_ID[],2,0))</f>
        <v>Delivery Vehicles</v>
      </c>
      <c r="G36" s="73" t="s">
        <v>334</v>
      </c>
      <c r="H36" s="21" t="s">
        <v>230</v>
      </c>
      <c r="I36" s="21" t="s">
        <v>231</v>
      </c>
      <c r="J36" s="21" t="s">
        <v>335</v>
      </c>
      <c r="K36" s="21" t="s">
        <v>114</v>
      </c>
      <c r="L36" s="62">
        <v>45858</v>
      </c>
      <c r="M36" s="21" t="s">
        <v>50</v>
      </c>
      <c r="N36" s="21" t="str">
        <f>IF(Table1333[[#This Row],[Date]]="","",(TEXT(Table1333[[#This Row],[Date]],"MMM")))</f>
        <v>Jun</v>
      </c>
      <c r="O36" s="21" t="str">
        <f>IF(Table1333[[#This Row],[Target Date]]="","",(TEXT(Table1333[[#This Row],[Target Date]],"MMM")))</f>
        <v>Jul</v>
      </c>
    </row>
    <row r="37" spans="1:17" ht="30" x14ac:dyDescent="0.25">
      <c r="A37" s="18">
        <f>IF((Table1333[[#This Row],[Date]]=""),"",ROW(A34))</f>
        <v>34</v>
      </c>
      <c r="B37" s="71">
        <v>45828</v>
      </c>
      <c r="C37" s="69">
        <v>0.41666666666666669</v>
      </c>
      <c r="D37" s="21" t="s">
        <v>336</v>
      </c>
      <c r="E37" s="21">
        <v>3</v>
      </c>
      <c r="F37" s="22" t="str">
        <f>IF(Table1333[[#This Row],[Loc ID]]="","",VLOOKUP(Table1333[[#This Row],[Loc ID]],Loc_ID[],2,0))</f>
        <v>DFS,TTFS area</v>
      </c>
      <c r="G37" s="73" t="s">
        <v>337</v>
      </c>
      <c r="H37" s="21" t="s">
        <v>230</v>
      </c>
      <c r="I37" s="21" t="s">
        <v>231</v>
      </c>
      <c r="J37" s="22" t="s">
        <v>241</v>
      </c>
      <c r="K37" s="21" t="s">
        <v>174</v>
      </c>
      <c r="L37" s="62">
        <v>45922</v>
      </c>
      <c r="M37" s="21" t="s">
        <v>50</v>
      </c>
      <c r="N37" s="21" t="str">
        <f>IF(Table1333[[#This Row],[Date]]="","",(TEXT(Table1333[[#This Row],[Date]],"MMM")))</f>
        <v>Jun</v>
      </c>
      <c r="O37" s="21" t="str">
        <f>IF(Table1333[[#This Row],[Target Date]]="","",(TEXT(Table1333[[#This Row],[Target Date]],"MMM")))</f>
        <v>Sep</v>
      </c>
    </row>
    <row r="38" spans="1:17" ht="30" x14ac:dyDescent="0.25">
      <c r="A38" s="18">
        <f>IF((Table1333[[#This Row],[Date]]=""),"",ROW(A35))</f>
        <v>35</v>
      </c>
      <c r="B38" s="71">
        <v>45836</v>
      </c>
      <c r="C38" s="69">
        <v>0.41666666666666669</v>
      </c>
      <c r="D38" s="21" t="s">
        <v>336</v>
      </c>
      <c r="E38" s="21">
        <v>7</v>
      </c>
      <c r="F38" s="22" t="str">
        <f>IF(Table1333[[#This Row],[Loc ID]]="","",VLOOKUP(Table1333[[#This Row],[Loc ID]],Loc_ID[],2,0))</f>
        <v>O.TF</v>
      </c>
      <c r="G38" s="73" t="s">
        <v>338</v>
      </c>
      <c r="H38" s="21" t="s">
        <v>230</v>
      </c>
      <c r="I38" s="21" t="s">
        <v>231</v>
      </c>
      <c r="J38" s="21" t="s">
        <v>339</v>
      </c>
      <c r="K38" s="21" t="s">
        <v>174</v>
      </c>
      <c r="L38" s="62">
        <v>45858</v>
      </c>
      <c r="M38" s="21" t="s">
        <v>94</v>
      </c>
      <c r="N38" s="21" t="str">
        <f>IF(Table1333[[#This Row],[Date]]="","",(TEXT(Table1333[[#This Row],[Date]],"MMM")))</f>
        <v>Jun</v>
      </c>
      <c r="O38" s="21" t="str">
        <f>IF(Table1333[[#This Row],[Target Date]]="","",(TEXT(Table1333[[#This Row],[Target Date]],"MMM")))</f>
        <v>Jul</v>
      </c>
    </row>
    <row r="39" spans="1:17" ht="30" x14ac:dyDescent="0.25">
      <c r="A39" s="18">
        <f>IF((Table1333[[#This Row],[Date]]=""),"",ROW(A36))</f>
        <v>36</v>
      </c>
      <c r="B39" s="71">
        <v>45836</v>
      </c>
      <c r="C39" s="69">
        <v>0.4861111111111111</v>
      </c>
      <c r="D39" s="21" t="s">
        <v>336</v>
      </c>
      <c r="E39" s="21">
        <v>0.1</v>
      </c>
      <c r="F39" s="22" t="str">
        <f>IF(Table1333[[#This Row],[Loc ID]]="","",VLOOKUP(Table1333[[#This Row],[Loc ID]],Loc_ID[],2,0))</f>
        <v>Tools &amp; Equipment</v>
      </c>
      <c r="G39" s="73" t="s">
        <v>340</v>
      </c>
      <c r="H39" s="21" t="s">
        <v>230</v>
      </c>
      <c r="I39" s="21" t="s">
        <v>231</v>
      </c>
      <c r="J39" s="21" t="s">
        <v>341</v>
      </c>
      <c r="K39" s="21" t="s">
        <v>174</v>
      </c>
      <c r="L39" s="62">
        <v>45869</v>
      </c>
      <c r="M39" s="21" t="s">
        <v>50</v>
      </c>
      <c r="N39" s="21" t="str">
        <f>IF(Table1333[[#This Row],[Date]]="","",(TEXT(Table1333[[#This Row],[Date]],"MMM")))</f>
        <v>Jun</v>
      </c>
      <c r="O39" s="21" t="str">
        <f>IF(Table1333[[#This Row],[Target Date]]="","",(TEXT(Table1333[[#This Row],[Target Date]],"MMM")))</f>
        <v>Jul</v>
      </c>
    </row>
    <row r="40" spans="1:17" ht="30" x14ac:dyDescent="0.25">
      <c r="A40" s="18">
        <f>IF((Table1333[[#This Row],[Date]]=""),"",ROW(A37))</f>
        <v>37</v>
      </c>
      <c r="B40" s="71">
        <v>45836</v>
      </c>
      <c r="C40" s="69">
        <v>0.41666666666666669</v>
      </c>
      <c r="D40" s="21" t="s">
        <v>336</v>
      </c>
      <c r="E40" s="21">
        <v>11</v>
      </c>
      <c r="F40" s="22" t="str">
        <f>IF(Table1333[[#This Row],[Loc ID]]="","",VLOOKUP(Table1333[[#This Row],[Loc ID]],Loc_ID[],2,0))</f>
        <v>TTFS and Drums Area</v>
      </c>
      <c r="G40" s="73" t="s">
        <v>342</v>
      </c>
      <c r="H40" s="21" t="s">
        <v>230</v>
      </c>
      <c r="I40" s="21" t="s">
        <v>231</v>
      </c>
      <c r="J40" s="21" t="s">
        <v>241</v>
      </c>
      <c r="K40" s="21" t="s">
        <v>174</v>
      </c>
      <c r="L40" s="62">
        <v>45945</v>
      </c>
      <c r="M40" s="21" t="s">
        <v>50</v>
      </c>
      <c r="N40" s="21" t="str">
        <f>IF(Table1333[[#This Row],[Date]]="","",(TEXT(Table1333[[#This Row],[Date]],"MMM")))</f>
        <v>Jun</v>
      </c>
      <c r="O40" s="21" t="str">
        <f>IF(Table1333[[#This Row],[Target Date]]="","",(TEXT(Table1333[[#This Row],[Target Date]],"MMM")))</f>
        <v>Oct</v>
      </c>
    </row>
    <row r="41" spans="1:17" ht="29.25" x14ac:dyDescent="0.25">
      <c r="A41" s="18">
        <f>IF((Table1333[[#This Row],[Date]]=""),"",ROW(A38))</f>
        <v>38</v>
      </c>
      <c r="B41" s="71">
        <v>45836</v>
      </c>
      <c r="C41" s="69">
        <v>0.41666666666666669</v>
      </c>
      <c r="D41" s="20" t="s">
        <v>336</v>
      </c>
      <c r="E41" s="21">
        <v>11</v>
      </c>
      <c r="F41" s="22" t="str">
        <f>IF(Table1333[[#This Row],[Loc ID]]="","",VLOOKUP(Table1333[[#This Row],[Loc ID]],Loc_ID[],2,0))</f>
        <v>TTFS and Drums Area</v>
      </c>
      <c r="G41" s="73" t="s">
        <v>343</v>
      </c>
      <c r="H41" s="21" t="s">
        <v>230</v>
      </c>
      <c r="I41" s="21" t="s">
        <v>231</v>
      </c>
      <c r="J41" s="21" t="s">
        <v>344</v>
      </c>
      <c r="K41" s="21" t="s">
        <v>114</v>
      </c>
      <c r="L41" s="62">
        <v>45900</v>
      </c>
      <c r="M41" s="21" t="s">
        <v>50</v>
      </c>
      <c r="N41" s="21" t="str">
        <f>IF(Table1333[[#This Row],[Date]]="","",(TEXT(Table1333[[#This Row],[Date]],"MMM")))</f>
        <v>Jun</v>
      </c>
      <c r="O41" s="21" t="str">
        <f>IF(Table1333[[#This Row],[Target Date]]="","",(TEXT(Table1333[[#This Row],[Target Date]],"MMM")))</f>
        <v>Aug</v>
      </c>
    </row>
    <row r="42" spans="1:17" ht="15.75" x14ac:dyDescent="0.25">
      <c r="A42" s="18">
        <f>IF((Table1333[[#This Row],[Date]]=""),"",ROW(A39))</f>
        <v>39</v>
      </c>
      <c r="B42" s="71">
        <v>45839</v>
      </c>
      <c r="C42" s="69">
        <v>0.4236111111111111</v>
      </c>
      <c r="D42" s="21" t="s">
        <v>336</v>
      </c>
      <c r="E42" s="21">
        <v>1</v>
      </c>
      <c r="F42" s="22" t="str">
        <f>IF(Table1333[[#This Row],[Loc ID]]="","",VLOOKUP(Table1333[[#This Row],[Loc ID]],Loc_ID[],2,0))</f>
        <v>Operation Office Area</v>
      </c>
      <c r="G42" s="73" t="s">
        <v>345</v>
      </c>
      <c r="H42" s="21" t="s">
        <v>230</v>
      </c>
      <c r="I42" s="21" t="s">
        <v>231</v>
      </c>
      <c r="J42" s="21" t="s">
        <v>346</v>
      </c>
      <c r="K42" s="21" t="s">
        <v>238</v>
      </c>
      <c r="L42" s="62">
        <v>45845</v>
      </c>
      <c r="M42" s="21" t="s">
        <v>94</v>
      </c>
      <c r="N42" s="21" t="str">
        <f>IF(Table1333[[#This Row],[Date]]="","",(TEXT(Table1333[[#This Row],[Date]],"MMM")))</f>
        <v>Jul</v>
      </c>
      <c r="O42" s="21" t="str">
        <f>IF(Table1333[[#This Row],[Target Date]]="","",(TEXT(Table1333[[#This Row],[Target Date]],"MMM")))</f>
        <v>Jul</v>
      </c>
    </row>
    <row r="43" spans="1:17" ht="15.75" x14ac:dyDescent="0.25">
      <c r="A43" s="18">
        <f>IF((Table1333[[#This Row],[Date]]=""),"",ROW(A40))</f>
        <v>40</v>
      </c>
      <c r="B43" s="71">
        <v>45839</v>
      </c>
      <c r="C43" s="69">
        <v>0.41666666666666669</v>
      </c>
      <c r="D43" s="19" t="s">
        <v>336</v>
      </c>
      <c r="E43" s="21">
        <v>1</v>
      </c>
      <c r="F43" s="22" t="str">
        <f>IF(Table1333[[#This Row],[Loc ID]]="","",VLOOKUP(Table1333[[#This Row],[Loc ID]],Loc_ID[],2,0))</f>
        <v>Operation Office Area</v>
      </c>
      <c r="G43" s="73" t="s">
        <v>347</v>
      </c>
      <c r="H43" s="21" t="s">
        <v>230</v>
      </c>
      <c r="I43" s="21" t="s">
        <v>231</v>
      </c>
      <c r="J43" s="21" t="s">
        <v>348</v>
      </c>
      <c r="K43" s="21" t="s">
        <v>238</v>
      </c>
      <c r="L43" s="62">
        <v>45845</v>
      </c>
      <c r="M43" s="21" t="s">
        <v>94</v>
      </c>
      <c r="N43" s="21" t="str">
        <f>IF(Table1333[[#This Row],[Date]]="","",(TEXT(Table1333[[#This Row],[Date]],"MMM")))</f>
        <v>Jul</v>
      </c>
      <c r="O43" s="21" t="str">
        <f>IF(Table1333[[#This Row],[Target Date]]="","",(TEXT(Table1333[[#This Row],[Target Date]],"MMM")))</f>
        <v>Jul</v>
      </c>
    </row>
    <row r="44" spans="1:17" ht="30" x14ac:dyDescent="0.25">
      <c r="A44" s="18">
        <f>IF((Table1333[[#This Row],[Date]]=""),"",ROW(A41))</f>
        <v>41</v>
      </c>
      <c r="B44" s="71">
        <v>45836</v>
      </c>
      <c r="C44" s="69">
        <v>0.4861111111111111</v>
      </c>
      <c r="D44" s="21" t="s">
        <v>349</v>
      </c>
      <c r="E44" s="21">
        <v>10</v>
      </c>
      <c r="F44" s="22" t="str">
        <f>IF(Table1333[[#This Row],[Loc ID]]="","",VLOOKUP(Table1333[[#This Row],[Loc ID]],Loc_ID[],2,0))</f>
        <v>Nmanifold &amp; Pump Shed</v>
      </c>
      <c r="G44" s="73" t="s">
        <v>350</v>
      </c>
      <c r="H44" s="21" t="s">
        <v>230</v>
      </c>
      <c r="I44" s="21" t="s">
        <v>231</v>
      </c>
      <c r="J44" s="21" t="s">
        <v>241</v>
      </c>
      <c r="K44" s="21" t="s">
        <v>114</v>
      </c>
      <c r="L44" s="62">
        <v>45845</v>
      </c>
      <c r="M44" s="21" t="s">
        <v>94</v>
      </c>
      <c r="N44" s="21" t="str">
        <f>IF(Table1333[[#This Row],[Date]]="","",(TEXT(Table1333[[#This Row],[Date]],"MMM")))</f>
        <v>Jun</v>
      </c>
      <c r="O44" s="21" t="str">
        <f>IF(Table1333[[#This Row],[Target Date]]="","",(TEXT(Table1333[[#This Row],[Target Date]],"MMM")))</f>
        <v>Jul</v>
      </c>
    </row>
    <row r="45" spans="1:17" ht="45" x14ac:dyDescent="0.25">
      <c r="A45" s="18">
        <f>IF((Table1333[[#This Row],[Date]]=""),"",ROW(A42))</f>
        <v>42</v>
      </c>
      <c r="B45" s="19">
        <v>45845</v>
      </c>
      <c r="C45" s="69">
        <v>0.41666666666666669</v>
      </c>
      <c r="D45" s="21" t="s">
        <v>349</v>
      </c>
      <c r="E45" s="21">
        <v>3</v>
      </c>
      <c r="F45" s="22" t="str">
        <f>IF(Table1333[[#This Row],[Loc ID]]="","",VLOOKUP(Table1333[[#This Row],[Loc ID]],Loc_ID[],2,0))</f>
        <v>DFS,TTFS area</v>
      </c>
      <c r="G45" s="22" t="s">
        <v>351</v>
      </c>
      <c r="H45" s="21" t="s">
        <v>230</v>
      </c>
      <c r="I45" s="21" t="s">
        <v>231</v>
      </c>
      <c r="J45" s="21" t="s">
        <v>352</v>
      </c>
      <c r="K45" s="21" t="s">
        <v>174</v>
      </c>
      <c r="L45" s="62">
        <v>45858</v>
      </c>
      <c r="M45" s="21" t="s">
        <v>50</v>
      </c>
      <c r="N45" s="21" t="str">
        <f>IF(Table1333[[#This Row],[Date]]="","",(TEXT(Table1333[[#This Row],[Date]],"MMM")))</f>
        <v>Jul</v>
      </c>
      <c r="O45" s="21" t="str">
        <f>IF(Table1333[[#This Row],[Target Date]]="","",(TEXT(Table1333[[#This Row],[Target Date]],"MMM")))</f>
        <v>Jul</v>
      </c>
    </row>
    <row r="46" spans="1:17" x14ac:dyDescent="0.25">
      <c r="A46" s="18">
        <f>IF((Table1333[[#This Row],[Date]]=""),"",ROW(A43))</f>
        <v>43</v>
      </c>
      <c r="B46" s="19">
        <v>45839</v>
      </c>
      <c r="C46" s="69">
        <v>0.70833333333333337</v>
      </c>
      <c r="D46" s="21" t="s">
        <v>349</v>
      </c>
      <c r="E46" s="21">
        <v>11</v>
      </c>
      <c r="F46" s="22" t="str">
        <f>IF(Table1333[[#This Row],[Loc ID]]="","",VLOOKUP(Table1333[[#This Row],[Loc ID]],Loc_ID[],2,0))</f>
        <v>TTFS and Drums Area</v>
      </c>
      <c r="G46" s="22"/>
      <c r="H46" s="21"/>
      <c r="I46" s="21"/>
      <c r="J46" s="21"/>
      <c r="K46" s="21"/>
      <c r="L46" s="62"/>
      <c r="M46" s="21"/>
      <c r="N46" s="21" t="str">
        <f>IF(Table1333[[#This Row],[Date]]="","",(TEXT(Table1333[[#This Row],[Date]],"MMM")))</f>
        <v>Jul</v>
      </c>
      <c r="O46" s="21" t="str">
        <f>IF(Table1333[[#This Row],[Target Date]]="","",(TEXT(Table1333[[#This Row],[Target Date]],"MMM")))</f>
        <v/>
      </c>
    </row>
    <row r="47" spans="1:17" ht="45" x14ac:dyDescent="0.25">
      <c r="A47" s="18">
        <f>IF((Table1333[[#This Row],[Date]]=""),"",ROW(A44))</f>
        <v>44</v>
      </c>
      <c r="B47" s="19">
        <v>45845</v>
      </c>
      <c r="C47" s="69">
        <v>0.64583333333333337</v>
      </c>
      <c r="D47" s="21" t="s">
        <v>353</v>
      </c>
      <c r="E47" s="21">
        <v>1</v>
      </c>
      <c r="F47" s="22" t="str">
        <f>IF(Table1333[[#This Row],[Loc ID]]="","",VLOOKUP(Table1333[[#This Row],[Loc ID]],Loc_ID[],2,0))</f>
        <v>Operation Office Area</v>
      </c>
      <c r="G47" s="22" t="s">
        <v>354</v>
      </c>
      <c r="H47" s="21" t="s">
        <v>230</v>
      </c>
      <c r="I47" s="21" t="s">
        <v>355</v>
      </c>
      <c r="J47" s="21" t="s">
        <v>356</v>
      </c>
      <c r="K47" s="21" t="s">
        <v>41</v>
      </c>
      <c r="L47" s="62">
        <v>45894</v>
      </c>
      <c r="M47" s="21" t="s">
        <v>94</v>
      </c>
      <c r="N47" s="21" t="str">
        <f>IF(Table1333[[#This Row],[Date]]="","",(TEXT(Table1333[[#This Row],[Date]],"MMM")))</f>
        <v>Jul</v>
      </c>
      <c r="O47" s="21" t="str">
        <f>IF(Table1333[[#This Row],[Target Date]]="","",(TEXT(Table1333[[#This Row],[Target Date]],"MMM")))</f>
        <v>Aug</v>
      </c>
    </row>
    <row r="48" spans="1:17" ht="30" x14ac:dyDescent="0.25">
      <c r="A48" s="18">
        <f>IF((Table1333[[#This Row],[Date]]=""),"",ROW(A45))</f>
        <v>45</v>
      </c>
      <c r="B48" s="19">
        <v>45839</v>
      </c>
      <c r="C48" s="69">
        <v>0.89583333333333337</v>
      </c>
      <c r="D48" s="21" t="s">
        <v>327</v>
      </c>
      <c r="E48" s="21">
        <v>5</v>
      </c>
      <c r="F48" s="22" t="str">
        <f>IF(Table1333[[#This Row],[Loc ID]]="","",VLOOKUP(Table1333[[#This Row],[Loc ID]],Loc_ID[],2,0))</f>
        <v>Lube Shed Area &amp; Lab area</v>
      </c>
      <c r="G48" s="22" t="s">
        <v>357</v>
      </c>
      <c r="H48" s="21" t="s">
        <v>230</v>
      </c>
      <c r="I48" s="21" t="s">
        <v>358</v>
      </c>
      <c r="J48" s="21" t="s">
        <v>241</v>
      </c>
      <c r="K48" s="21" t="s">
        <v>174</v>
      </c>
      <c r="L48" s="62">
        <v>45853</v>
      </c>
      <c r="M48" s="21" t="s">
        <v>50</v>
      </c>
      <c r="N48" s="21" t="str">
        <f>IF(Table1333[[#This Row],[Date]]="","",(TEXT(Table1333[[#This Row],[Date]],"MMM")))</f>
        <v>Jul</v>
      </c>
      <c r="O48" s="21" t="str">
        <f>IF(Table1333[[#This Row],[Target Date]]="","",(TEXT(Table1333[[#This Row],[Target Date]],"MMM")))</f>
        <v>Jul</v>
      </c>
    </row>
    <row r="49" spans="1:15" ht="60" x14ac:dyDescent="0.25">
      <c r="A49" s="18">
        <f>IF((Table1333[[#This Row],[Date]]=""),"",ROW(A46))</f>
        <v>46</v>
      </c>
      <c r="B49" s="19">
        <v>45839</v>
      </c>
      <c r="C49" s="95">
        <v>0.43055555555555558</v>
      </c>
      <c r="D49" s="96" t="s">
        <v>233</v>
      </c>
      <c r="E49" s="96">
        <v>3</v>
      </c>
      <c r="F49" s="97" t="str">
        <f>IF(Table1333[[#This Row],[Loc ID]]="","",VLOOKUP(Table1333[[#This Row],[Loc ID]],Loc_ID[],2,0))</f>
        <v>DFS,TTFS area</v>
      </c>
      <c r="G49" s="22" t="s">
        <v>359</v>
      </c>
      <c r="H49" s="96" t="s">
        <v>230</v>
      </c>
      <c r="I49" s="96" t="s">
        <v>231</v>
      </c>
      <c r="J49" s="96" t="s">
        <v>360</v>
      </c>
      <c r="K49" s="96" t="s">
        <v>114</v>
      </c>
      <c r="L49" s="98">
        <v>45868</v>
      </c>
      <c r="M49" s="96" t="s">
        <v>50</v>
      </c>
      <c r="N49" s="21" t="str">
        <f>IF(Table1333[[#This Row],[Date]]="","",(TEXT(Table1333[[#This Row],[Date]],"MMM")))</f>
        <v>Jul</v>
      </c>
      <c r="O49" s="96" t="str">
        <f>IF(Table1333[[#This Row],[Target Date]]="","",(TEXT(Table1333[[#This Row],[Target Date]],"MMM")))</f>
        <v>Jul</v>
      </c>
    </row>
    <row r="50" spans="1:15" ht="75" x14ac:dyDescent="0.25">
      <c r="A50" s="18">
        <f>IF((Table1333[[#This Row],[Date]]=""),"",ROW(A47))</f>
        <v>47</v>
      </c>
      <c r="B50" s="19">
        <v>45839</v>
      </c>
      <c r="C50" s="95">
        <v>0.43055555555555558</v>
      </c>
      <c r="D50" s="96" t="s">
        <v>233</v>
      </c>
      <c r="E50" s="96">
        <v>1</v>
      </c>
      <c r="F50" s="97" t="str">
        <f>IF(Table1333[[#This Row],[Loc ID]]="","",VLOOKUP(Table1333[[#This Row],[Loc ID]],Loc_ID[],2,0))</f>
        <v>Operation Office Area</v>
      </c>
      <c r="G50" s="22" t="s">
        <v>361</v>
      </c>
      <c r="H50" s="96" t="s">
        <v>230</v>
      </c>
      <c r="I50" s="96" t="s">
        <v>231</v>
      </c>
      <c r="J50" s="96" t="s">
        <v>362</v>
      </c>
      <c r="K50" s="96" t="s">
        <v>174</v>
      </c>
      <c r="L50" s="98">
        <v>45868</v>
      </c>
      <c r="M50" s="96" t="s">
        <v>94</v>
      </c>
      <c r="N50" s="21" t="str">
        <f>IF(Table1333[[#This Row],[Date]]="","",(TEXT(Table1333[[#This Row],[Date]],"MMM")))</f>
        <v>Jul</v>
      </c>
      <c r="O50" s="96" t="str">
        <f>IF(Table1333[[#This Row],[Target Date]]="","",(TEXT(Table1333[[#This Row],[Target Date]],"MMM")))</f>
        <v>Jul</v>
      </c>
    </row>
    <row r="51" spans="1:15" ht="60" x14ac:dyDescent="0.25">
      <c r="A51" s="18">
        <f>IF((Table1333[[#This Row],[Date]]=""),"",ROW(A48))</f>
        <v>48</v>
      </c>
      <c r="B51" s="19">
        <v>45839</v>
      </c>
      <c r="C51" s="95">
        <v>0.4375</v>
      </c>
      <c r="D51" s="96" t="s">
        <v>363</v>
      </c>
      <c r="E51" s="96">
        <v>7</v>
      </c>
      <c r="F51" s="97" t="str">
        <f>IF(Table1333[[#This Row],[Loc ID]]="","",VLOOKUP(Table1333[[#This Row],[Loc ID]],Loc_ID[],2,0))</f>
        <v>O.TF</v>
      </c>
      <c r="G51" s="22" t="s">
        <v>364</v>
      </c>
      <c r="H51" s="96" t="s">
        <v>365</v>
      </c>
      <c r="I51" s="96" t="s">
        <v>366</v>
      </c>
      <c r="J51" s="96" t="s">
        <v>367</v>
      </c>
      <c r="K51" s="96" t="s">
        <v>320</v>
      </c>
      <c r="L51" s="98">
        <v>45894</v>
      </c>
      <c r="M51" s="96" t="s">
        <v>50</v>
      </c>
      <c r="N51" s="21" t="str">
        <f>IF(Table1333[[#This Row],[Date]]="","",(TEXT(Table1333[[#This Row],[Date]],"MMM")))</f>
        <v>Jul</v>
      </c>
      <c r="O51" s="96" t="str">
        <f>IF(Table1333[[#This Row],[Target Date]]="","",(TEXT(Table1333[[#This Row],[Target Date]],"MMM")))</f>
        <v>Aug</v>
      </c>
    </row>
    <row r="52" spans="1:15" ht="45" x14ac:dyDescent="0.25">
      <c r="A52" s="18">
        <f>IF((Table1333[[#This Row],[Date]]=""),"",ROW(A49))</f>
        <v>49</v>
      </c>
      <c r="B52" s="19">
        <v>45839</v>
      </c>
      <c r="C52" s="95">
        <v>0.59375</v>
      </c>
      <c r="D52" s="96" t="s">
        <v>368</v>
      </c>
      <c r="E52" s="96">
        <v>1</v>
      </c>
      <c r="F52" s="97" t="str">
        <f>IF(Table1333[[#This Row],[Loc ID]]="","",VLOOKUP(Table1333[[#This Row],[Loc ID]],Loc_ID[],2,0))</f>
        <v>Operation Office Area</v>
      </c>
      <c r="G52" s="22" t="s">
        <v>369</v>
      </c>
      <c r="H52" s="96" t="s">
        <v>370</v>
      </c>
      <c r="I52" s="96" t="s">
        <v>371</v>
      </c>
      <c r="J52" s="96" t="s">
        <v>372</v>
      </c>
      <c r="K52" s="96" t="s">
        <v>373</v>
      </c>
      <c r="L52" s="98">
        <v>45839</v>
      </c>
      <c r="M52" s="96" t="s">
        <v>94</v>
      </c>
      <c r="N52" s="21" t="str">
        <f>IF(Table1333[[#This Row],[Date]]="","",(TEXT(Table1333[[#This Row],[Date]],"MMM")))</f>
        <v>Jul</v>
      </c>
      <c r="O52" s="96" t="str">
        <f>IF(Table1333[[#This Row],[Target Date]]="","",(TEXT(Table1333[[#This Row],[Target Date]],"MMM")))</f>
        <v>Jul</v>
      </c>
    </row>
    <row r="53" spans="1:15" ht="45" x14ac:dyDescent="0.25">
      <c r="A53" s="94">
        <f>IF((Table1333[[#This Row],[Date]]=""),"",ROW(A50))</f>
        <v>50</v>
      </c>
      <c r="B53" s="19">
        <v>45868</v>
      </c>
      <c r="C53" s="95">
        <v>0.10416666666666667</v>
      </c>
      <c r="D53" s="96" t="s">
        <v>368</v>
      </c>
      <c r="E53" s="96">
        <v>1</v>
      </c>
      <c r="F53" s="97" t="str">
        <f>IF(Table1333[[#This Row],[Loc ID]]="","",VLOOKUP(Table1333[[#This Row],[Loc ID]],Loc_ID[],2,0))</f>
        <v>Operation Office Area</v>
      </c>
      <c r="G53" s="22" t="s">
        <v>374</v>
      </c>
      <c r="H53" s="96" t="s">
        <v>370</v>
      </c>
      <c r="I53" s="96" t="s">
        <v>375</v>
      </c>
      <c r="J53" s="96" t="s">
        <v>376</v>
      </c>
      <c r="K53" s="96" t="s">
        <v>373</v>
      </c>
      <c r="L53" s="98">
        <v>45870</v>
      </c>
      <c r="M53" s="96" t="s">
        <v>94</v>
      </c>
      <c r="N53" s="21" t="str">
        <f>IF(Table1333[[#This Row],[Date]]="","",(TEXT(Table1333[[#This Row],[Date]],"MMM")))</f>
        <v>Jul</v>
      </c>
      <c r="O53" s="96" t="str">
        <f>IF(Table1333[[#This Row],[Target Date]]="","",(TEXT(Table1333[[#This Row],[Target Date]],"MMM")))</f>
        <v>Aug</v>
      </c>
    </row>
    <row r="54" spans="1:15" ht="30" x14ac:dyDescent="0.25">
      <c r="A54" s="94">
        <f>IF((Table1333[[#This Row],[Date]]=""),"",ROW(A51))</f>
        <v>51</v>
      </c>
      <c r="B54" s="19">
        <v>45839</v>
      </c>
      <c r="C54" s="95">
        <v>0.35416666666666669</v>
      </c>
      <c r="D54" s="96" t="s">
        <v>336</v>
      </c>
      <c r="E54" s="96">
        <v>0.2</v>
      </c>
      <c r="F54" s="97" t="str">
        <f>IF(Table1333[[#This Row],[Loc ID]]="","",VLOOKUP(Table1333[[#This Row],[Loc ID]],Loc_ID[],2,0))</f>
        <v>Facilities</v>
      </c>
      <c r="G54" s="22" t="s">
        <v>377</v>
      </c>
      <c r="H54" s="96" t="s">
        <v>370</v>
      </c>
      <c r="I54" s="96" t="s">
        <v>378</v>
      </c>
      <c r="J54" s="96" t="s">
        <v>379</v>
      </c>
      <c r="K54" s="96" t="s">
        <v>238</v>
      </c>
      <c r="L54" s="98">
        <v>45899</v>
      </c>
      <c r="M54" s="96" t="s">
        <v>129</v>
      </c>
      <c r="N54" s="21" t="str">
        <f>IF(Table1333[[#This Row],[Date]]="","",(TEXT(Table1333[[#This Row],[Date]],"MMM")))</f>
        <v>Jul</v>
      </c>
      <c r="O54" s="96" t="str">
        <f>IF(Table1333[[#This Row],[Target Date]]="","",(TEXT(Table1333[[#This Row],[Target Date]],"MMM")))</f>
        <v>Aug</v>
      </c>
    </row>
    <row r="55" spans="1:15" ht="45" x14ac:dyDescent="0.25">
      <c r="A55" s="94">
        <f>IF((Table1333[[#This Row],[Date]]=""),"",ROW(A52))</f>
        <v>52</v>
      </c>
      <c r="B55" s="19">
        <v>45870</v>
      </c>
      <c r="C55" s="95">
        <v>0.47222222222222221</v>
      </c>
      <c r="D55" s="96" t="s">
        <v>312</v>
      </c>
      <c r="E55" s="96">
        <v>0.4</v>
      </c>
      <c r="F55" s="97" t="str">
        <f>IF(Table1333[[#This Row],[Loc ID]]="","",VLOOKUP(Table1333[[#This Row],[Loc ID]],Loc_ID[],2,0))</f>
        <v>Compliance</v>
      </c>
      <c r="G55" s="22" t="s">
        <v>380</v>
      </c>
      <c r="H55" s="96" t="s">
        <v>230</v>
      </c>
      <c r="I55" s="96" t="s">
        <v>381</v>
      </c>
      <c r="J55" s="96" t="s">
        <v>382</v>
      </c>
      <c r="K55" s="96" t="s">
        <v>373</v>
      </c>
      <c r="L55" s="98">
        <v>45870</v>
      </c>
      <c r="M55" s="96" t="s">
        <v>94</v>
      </c>
      <c r="N55" s="21" t="str">
        <f>IF(Table1333[[#This Row],[Date]]="","",(TEXT(Table1333[[#This Row],[Date]],"MMM")))</f>
        <v>Aug</v>
      </c>
      <c r="O55" s="96" t="str">
        <f>IF(Table1333[[#This Row],[Target Date]]="","",(TEXT(Table1333[[#This Row],[Target Date]],"MMM")))</f>
        <v>Aug</v>
      </c>
    </row>
    <row r="56" spans="1:15" ht="45" x14ac:dyDescent="0.25">
      <c r="A56" s="94">
        <f>IF((Table1333[[#This Row],[Date]]=""),"",ROW(A53))</f>
        <v>53</v>
      </c>
      <c r="B56" s="19">
        <v>45861</v>
      </c>
      <c r="C56" s="95">
        <v>0.80208333333333337</v>
      </c>
      <c r="D56" s="96" t="s">
        <v>239</v>
      </c>
      <c r="E56" s="96">
        <v>0.2</v>
      </c>
      <c r="F56" s="97" t="str">
        <f>IF(Table1333[[#This Row],[Loc ID]]="","",VLOOKUP(Table1333[[#This Row],[Loc ID]],Loc_ID[],2,0))</f>
        <v>Facilities</v>
      </c>
      <c r="G56" s="22" t="s">
        <v>383</v>
      </c>
      <c r="H56" s="96" t="s">
        <v>230</v>
      </c>
      <c r="I56" s="96" t="s">
        <v>231</v>
      </c>
      <c r="J56" s="96" t="s">
        <v>384</v>
      </c>
      <c r="K56" s="96" t="s">
        <v>114</v>
      </c>
      <c r="L56" s="98">
        <v>45892</v>
      </c>
      <c r="M56" s="96" t="s">
        <v>50</v>
      </c>
      <c r="N56" s="21" t="str">
        <f>IF(Table1333[[#This Row],[Date]]="","",(TEXT(Table1333[[#This Row],[Date]],"MMM")))</f>
        <v>Jul</v>
      </c>
      <c r="O56" s="96" t="str">
        <f>IF(Table1333[[#This Row],[Target Date]]="","",(TEXT(Table1333[[#This Row],[Target Date]],"MMM")))</f>
        <v>Aug</v>
      </c>
    </row>
    <row r="57" spans="1:15" ht="30" x14ac:dyDescent="0.25">
      <c r="A57" s="94">
        <f>IF((Table1333[[#This Row],[Date]]=""),"",ROW(A54))</f>
        <v>54</v>
      </c>
      <c r="B57" s="19">
        <v>45859</v>
      </c>
      <c r="C57" s="95">
        <v>0.64583333333333337</v>
      </c>
      <c r="D57" s="96" t="s">
        <v>327</v>
      </c>
      <c r="E57" s="96">
        <v>13</v>
      </c>
      <c r="F57" s="97" t="str">
        <f>IF(Table1333[[#This Row],[Loc ID]]="","",VLOOKUP(Table1333[[#This Row],[Loc ID]],Loc_ID[],2,0))</f>
        <v>NTF Fences</v>
      </c>
      <c r="G57" s="22" t="s">
        <v>385</v>
      </c>
      <c r="H57" s="96" t="s">
        <v>370</v>
      </c>
      <c r="I57" s="96" t="s">
        <v>231</v>
      </c>
      <c r="J57" s="96" t="s">
        <v>386</v>
      </c>
      <c r="K57" s="96" t="s">
        <v>174</v>
      </c>
      <c r="L57" s="98" t="s">
        <v>72</v>
      </c>
      <c r="M57" s="96" t="s">
        <v>50</v>
      </c>
      <c r="N57" s="21" t="str">
        <f>IF(Table1333[[#This Row],[Date]]="","",(TEXT(Table1333[[#This Row],[Date]],"MMM")))</f>
        <v>Jul</v>
      </c>
      <c r="O57" s="96" t="str">
        <f>IF(Table1333[[#This Row],[Target Date]]="","",(TEXT(Table1333[[#This Row],[Target Date]],"MMM")))</f>
        <v>September</v>
      </c>
    </row>
    <row r="58" spans="1:15" ht="45" x14ac:dyDescent="0.25">
      <c r="A58" s="94">
        <f>IF((Table1333[[#This Row],[Date]]=""),"",ROW(A55))</f>
        <v>55</v>
      </c>
      <c r="B58" s="19">
        <v>45855</v>
      </c>
      <c r="C58" s="95">
        <v>0.625</v>
      </c>
      <c r="D58" s="96" t="s">
        <v>327</v>
      </c>
      <c r="E58" s="96">
        <v>5</v>
      </c>
      <c r="F58" s="97" t="str">
        <f>IF(Table1333[[#This Row],[Loc ID]]="","",VLOOKUP(Table1333[[#This Row],[Loc ID]],Loc_ID[],2,0))</f>
        <v>Lube Shed Area &amp; Lab area</v>
      </c>
      <c r="G58" s="22" t="s">
        <v>387</v>
      </c>
      <c r="H58" s="96" t="s">
        <v>370</v>
      </c>
      <c r="I58" s="96" t="s">
        <v>231</v>
      </c>
      <c r="J58" s="96" t="s">
        <v>388</v>
      </c>
      <c r="K58" s="96" t="s">
        <v>373</v>
      </c>
      <c r="L58" s="98">
        <v>45890</v>
      </c>
      <c r="M58" s="96" t="s">
        <v>94</v>
      </c>
      <c r="N58" s="21" t="str">
        <f>IF(Table1333[[#This Row],[Date]]="","",(TEXT(Table1333[[#This Row],[Date]],"MMM")))</f>
        <v>Jul</v>
      </c>
      <c r="O58" s="96" t="str">
        <f>IF(Table1333[[#This Row],[Target Date]]="","",(TEXT(Table1333[[#This Row],[Target Date]],"MMM")))</f>
        <v>Aug</v>
      </c>
    </row>
    <row r="59" spans="1:15" ht="45" x14ac:dyDescent="0.25">
      <c r="A59" s="94">
        <f>IF((Table1333[[#This Row],[Date]]=""),"",ROW(A56))</f>
        <v>56</v>
      </c>
      <c r="B59" s="19">
        <v>45860</v>
      </c>
      <c r="C59" s="95">
        <v>0.42708333333333331</v>
      </c>
      <c r="D59" s="96" t="s">
        <v>333</v>
      </c>
      <c r="E59" s="96">
        <v>0.4</v>
      </c>
      <c r="F59" s="97" t="str">
        <f>IF(Table1333[[#This Row],[Loc ID]]="","",VLOOKUP(Table1333[[#This Row],[Loc ID]],Loc_ID[],2,0))</f>
        <v>Compliance</v>
      </c>
      <c r="G59" s="22" t="s">
        <v>389</v>
      </c>
      <c r="H59" s="96" t="s">
        <v>370</v>
      </c>
      <c r="I59" s="96" t="s">
        <v>390</v>
      </c>
      <c r="J59" s="96" t="s">
        <v>391</v>
      </c>
      <c r="K59" s="96" t="s">
        <v>282</v>
      </c>
      <c r="L59" s="98">
        <v>45910</v>
      </c>
      <c r="M59" s="96" t="s">
        <v>94</v>
      </c>
      <c r="N59" s="21" t="str">
        <f>IF(Table1333[[#This Row],[Date]]="","",(TEXT(Table1333[[#This Row],[Date]],"MMM")))</f>
        <v>Jul</v>
      </c>
      <c r="O59" s="96" t="str">
        <f>IF(Table1333[[#This Row],[Target Date]]="","",(TEXT(Table1333[[#This Row],[Target Date]],"MMM")))</f>
        <v>Sep</v>
      </c>
    </row>
    <row r="60" spans="1:15" ht="30" x14ac:dyDescent="0.25">
      <c r="A60" s="94">
        <f>IF((Table1333[[#This Row],[Date]]=""),"",ROW(A57))</f>
        <v>57</v>
      </c>
      <c r="B60" s="19">
        <v>45859</v>
      </c>
      <c r="C60" s="95">
        <v>0.375</v>
      </c>
      <c r="D60" s="96" t="s">
        <v>239</v>
      </c>
      <c r="E60" s="96">
        <v>0.3</v>
      </c>
      <c r="F60" s="97" t="str">
        <f>IF(Table1333[[#This Row],[Loc ID]]="","",VLOOKUP(Table1333[[#This Row],[Loc ID]],Loc_ID[],2,0))</f>
        <v>Delivery Vehicles</v>
      </c>
      <c r="G60" s="22" t="s">
        <v>392</v>
      </c>
      <c r="H60" s="96" t="s">
        <v>370</v>
      </c>
      <c r="I60" s="96" t="s">
        <v>393</v>
      </c>
      <c r="J60" s="96" t="s">
        <v>394</v>
      </c>
      <c r="K60" s="96" t="s">
        <v>114</v>
      </c>
      <c r="L60" s="98">
        <v>45894</v>
      </c>
      <c r="M60" s="96" t="s">
        <v>50</v>
      </c>
      <c r="N60" s="21" t="str">
        <f>IF(Table1333[[#This Row],[Date]]="","",(TEXT(Table1333[[#This Row],[Date]],"MMM")))</f>
        <v>Jul</v>
      </c>
      <c r="O60" s="96" t="str">
        <f>IF(Table1333[[#This Row],[Target Date]]="","",(TEXT(Table1333[[#This Row],[Target Date]],"MMM")))</f>
        <v>Aug</v>
      </c>
    </row>
    <row r="61" spans="1:15" x14ac:dyDescent="0.25">
      <c r="A61" s="94">
        <f>IF((Table1333[[#This Row],[Date]]=""),"",ROW(A58))</f>
        <v>58</v>
      </c>
      <c r="B61" s="19">
        <v>45860</v>
      </c>
      <c r="C61" s="95">
        <v>0.58333333333333337</v>
      </c>
      <c r="D61" s="96" t="s">
        <v>268</v>
      </c>
      <c r="E61" s="96">
        <v>0.3</v>
      </c>
      <c r="F61" s="97" t="str">
        <f>IF(Table1333[[#This Row],[Loc ID]]="","",VLOOKUP(Table1333[[#This Row],[Loc ID]],Loc_ID[],2,0))</f>
        <v>Delivery Vehicles</v>
      </c>
      <c r="G61" s="22" t="s">
        <v>395</v>
      </c>
      <c r="H61" s="96" t="s">
        <v>370</v>
      </c>
      <c r="I61" s="96" t="s">
        <v>231</v>
      </c>
      <c r="J61" s="96" t="s">
        <v>396</v>
      </c>
      <c r="K61" s="96" t="s">
        <v>114</v>
      </c>
      <c r="L61" s="98">
        <v>45896</v>
      </c>
      <c r="M61" s="96" t="s">
        <v>94</v>
      </c>
      <c r="N61" s="21" t="str">
        <f>IF(Table1333[[#This Row],[Date]]="","",(TEXT(Table1333[[#This Row],[Date]],"MMM")))</f>
        <v>Jul</v>
      </c>
      <c r="O61" s="96" t="str">
        <f>IF(Table1333[[#This Row],[Target Date]]="","",(TEXT(Table1333[[#This Row],[Target Date]],"MMM")))</f>
        <v>Aug</v>
      </c>
    </row>
    <row r="62" spans="1:15" ht="30" x14ac:dyDescent="0.25">
      <c r="A62" s="94">
        <f>IF((Table1333[[#This Row],[Date]]=""),"",ROW(A59))</f>
        <v>59</v>
      </c>
      <c r="B62" s="19">
        <v>45864</v>
      </c>
      <c r="C62" s="95">
        <v>0.3923611111111111</v>
      </c>
      <c r="D62" s="96" t="s">
        <v>239</v>
      </c>
      <c r="E62" s="96">
        <v>1</v>
      </c>
      <c r="F62" s="97" t="str">
        <f>IF(Table1333[[#This Row],[Loc ID]]="","",VLOOKUP(Table1333[[#This Row],[Loc ID]],Loc_ID[],2,0))</f>
        <v>Operation Office Area</v>
      </c>
      <c r="G62" s="22" t="s">
        <v>397</v>
      </c>
      <c r="H62" s="96" t="s">
        <v>370</v>
      </c>
      <c r="I62" s="96" t="s">
        <v>231</v>
      </c>
      <c r="J62" s="96" t="s">
        <v>396</v>
      </c>
      <c r="K62" s="96" t="s">
        <v>114</v>
      </c>
      <c r="L62" s="98">
        <v>45895</v>
      </c>
      <c r="M62" s="96" t="s">
        <v>50</v>
      </c>
      <c r="N62" s="21" t="str">
        <f>IF(Table1333[[#This Row],[Date]]="","",(TEXT(Table1333[[#This Row],[Date]],"MMM")))</f>
        <v>Jul</v>
      </c>
      <c r="O62" s="96" t="str">
        <f>IF(Table1333[[#This Row],[Target Date]]="","",(TEXT(Table1333[[#This Row],[Target Date]],"MMM")))</f>
        <v>Aug</v>
      </c>
    </row>
    <row r="63" spans="1:15" ht="30" x14ac:dyDescent="0.25">
      <c r="A63" s="94">
        <f>IF((Table1333[[#This Row],[Date]]=""),"",ROW(A60))</f>
        <v>60</v>
      </c>
      <c r="B63" s="19">
        <v>45894</v>
      </c>
      <c r="C63" s="95">
        <v>0.375</v>
      </c>
      <c r="D63" s="96" t="s">
        <v>312</v>
      </c>
      <c r="E63" s="96">
        <v>0.4</v>
      </c>
      <c r="F63" s="97" t="str">
        <f>IF(Table1333[[#This Row],[Loc ID]]="","",VLOOKUP(Table1333[[#This Row],[Loc ID]],Loc_ID[],2,0))</f>
        <v>Compliance</v>
      </c>
      <c r="G63" s="22" t="s">
        <v>398</v>
      </c>
      <c r="H63" s="96" t="s">
        <v>370</v>
      </c>
      <c r="I63" s="96" t="s">
        <v>231</v>
      </c>
      <c r="J63" s="96" t="s">
        <v>399</v>
      </c>
      <c r="K63" s="96" t="s">
        <v>110</v>
      </c>
      <c r="L63" s="98">
        <v>45880</v>
      </c>
      <c r="M63" s="96" t="s">
        <v>50</v>
      </c>
      <c r="N63" s="21" t="str">
        <f>IF(Table1333[[#This Row],[Date]]="","",(TEXT(Table1333[[#This Row],[Date]],"MMM")))</f>
        <v>Aug</v>
      </c>
      <c r="O63" s="96" t="str">
        <f>IF(Table1333[[#This Row],[Target Date]]="","",(TEXT(Table1333[[#This Row],[Target Date]],"MMM")))</f>
        <v>Aug</v>
      </c>
    </row>
    <row r="64" spans="1:15" ht="45" x14ac:dyDescent="0.25">
      <c r="A64" s="94">
        <f>IF((Table1333[[#This Row],[Date]]=""),"",ROW(A61))</f>
        <v>61</v>
      </c>
      <c r="B64" s="19">
        <v>45867</v>
      </c>
      <c r="C64" s="95">
        <v>0.375</v>
      </c>
      <c r="D64" s="96" t="s">
        <v>252</v>
      </c>
      <c r="E64" s="96">
        <v>0.4</v>
      </c>
      <c r="F64" s="97" t="str">
        <f>IF(Table1333[[#This Row],[Loc ID]]="","",VLOOKUP(Table1333[[#This Row],[Loc ID]],Loc_ID[],2,0))</f>
        <v>Compliance</v>
      </c>
      <c r="G64" s="22" t="s">
        <v>400</v>
      </c>
      <c r="H64" s="96" t="s">
        <v>370</v>
      </c>
      <c r="I64" s="96" t="s">
        <v>231</v>
      </c>
      <c r="J64" s="96" t="s">
        <v>401</v>
      </c>
      <c r="K64" s="96" t="s">
        <v>402</v>
      </c>
      <c r="L64" s="98">
        <v>45867</v>
      </c>
      <c r="M64" s="96" t="s">
        <v>94</v>
      </c>
      <c r="N64" s="21" t="str">
        <f>IF(Table1333[[#This Row],[Date]]="","",(TEXT(Table1333[[#This Row],[Date]],"MMM")))</f>
        <v>Jul</v>
      </c>
      <c r="O64" s="96" t="str">
        <f>IF(Table1333[[#This Row],[Target Date]]="","",(TEXT(Table1333[[#This Row],[Target Date]],"MMM")))</f>
        <v>Jul</v>
      </c>
    </row>
    <row r="65" spans="1:15" ht="45" x14ac:dyDescent="0.25">
      <c r="A65" s="94">
        <f>IF((Table1333[[#This Row],[Date]]=""),"",ROW(A62))</f>
        <v>62</v>
      </c>
      <c r="B65" s="19">
        <v>45867</v>
      </c>
      <c r="C65" s="95">
        <v>0.4375</v>
      </c>
      <c r="D65" s="96" t="s">
        <v>252</v>
      </c>
      <c r="E65" s="96">
        <v>0.4</v>
      </c>
      <c r="F65" s="97" t="str">
        <f>IF(Table1333[[#This Row],[Loc ID]]="","",VLOOKUP(Table1333[[#This Row],[Loc ID]],Loc_ID[],2,0))</f>
        <v>Compliance</v>
      </c>
      <c r="G65" s="22" t="s">
        <v>403</v>
      </c>
      <c r="H65" s="96" t="s">
        <v>370</v>
      </c>
      <c r="I65" s="96" t="s">
        <v>231</v>
      </c>
      <c r="J65" s="96" t="s">
        <v>404</v>
      </c>
      <c r="K65" s="96" t="s">
        <v>405</v>
      </c>
      <c r="L65" s="98">
        <v>45868</v>
      </c>
      <c r="M65" s="96" t="s">
        <v>94</v>
      </c>
      <c r="N65" s="21" t="str">
        <f>IF(Table1333[[#This Row],[Date]]="","",(TEXT(Table1333[[#This Row],[Date]],"MMM")))</f>
        <v>Jul</v>
      </c>
      <c r="O65" s="96" t="str">
        <f>IF(Table1333[[#This Row],[Target Date]]="","",(TEXT(Table1333[[#This Row],[Target Date]],"MMM")))</f>
        <v>Jul</v>
      </c>
    </row>
    <row r="66" spans="1:15" ht="30" x14ac:dyDescent="0.25">
      <c r="A66" s="94">
        <f>IF((Table1333[[#This Row],[Date]]=""),"",ROW(A63))</f>
        <v>63</v>
      </c>
      <c r="B66" s="19">
        <v>45867</v>
      </c>
      <c r="C66" s="95">
        <v>0.45833333333333331</v>
      </c>
      <c r="D66" s="96" t="s">
        <v>252</v>
      </c>
      <c r="E66" s="96">
        <v>5</v>
      </c>
      <c r="F66" s="97" t="str">
        <f>IF(Table1333[[#This Row],[Loc ID]]="","",VLOOKUP(Table1333[[#This Row],[Loc ID]],Loc_ID[],2,0))</f>
        <v>Lube Shed Area &amp; Lab area</v>
      </c>
      <c r="G66" s="22" t="s">
        <v>406</v>
      </c>
      <c r="H66" s="96" t="s">
        <v>370</v>
      </c>
      <c r="I66" s="96" t="s">
        <v>407</v>
      </c>
      <c r="J66" s="96" t="s">
        <v>408</v>
      </c>
      <c r="K66" s="96" t="s">
        <v>110</v>
      </c>
      <c r="L66" s="98">
        <v>45870</v>
      </c>
      <c r="M66" s="21" t="s">
        <v>94</v>
      </c>
      <c r="N66" s="21" t="str">
        <f>IF(Table1333[[#This Row],[Date]]="","",(TEXT(Table1333[[#This Row],[Date]],"MMM")))</f>
        <v>Jul</v>
      </c>
      <c r="O66" s="96" t="str">
        <f>IF(Table1333[[#This Row],[Target Date]]="","",(TEXT(Table1333[[#This Row],[Target Date]],"MMM")))</f>
        <v>Aug</v>
      </c>
    </row>
    <row r="67" spans="1:15" ht="30" x14ac:dyDescent="0.25">
      <c r="A67" s="94">
        <f>IF((Table1333[[#This Row],[Date]]=""),"",ROW(A64))</f>
        <v>64</v>
      </c>
      <c r="B67" s="19">
        <v>45867</v>
      </c>
      <c r="C67" s="95">
        <v>0.45833333333333331</v>
      </c>
      <c r="D67" s="96" t="s">
        <v>252</v>
      </c>
      <c r="E67" s="96">
        <v>5</v>
      </c>
      <c r="F67" s="97" t="str">
        <f>IF(Table1333[[#This Row],[Loc ID]]="","",VLOOKUP(Table1333[[#This Row],[Loc ID]],Loc_ID[],2,0))</f>
        <v>Lube Shed Area &amp; Lab area</v>
      </c>
      <c r="G67" s="22" t="s">
        <v>409</v>
      </c>
      <c r="H67" s="96" t="s">
        <v>370</v>
      </c>
      <c r="I67" s="21" t="s">
        <v>410</v>
      </c>
      <c r="J67" s="21" t="s">
        <v>411</v>
      </c>
      <c r="K67" s="21" t="s">
        <v>110</v>
      </c>
      <c r="L67" s="98">
        <v>45871</v>
      </c>
      <c r="M67" s="21" t="s">
        <v>94</v>
      </c>
      <c r="N67" s="21" t="str">
        <f>IF(Table1333[[#This Row],[Date]]="","",(TEXT(Table1333[[#This Row],[Date]],"MMM")))</f>
        <v>Jul</v>
      </c>
      <c r="O67" s="96" t="str">
        <f>IF(Table1333[[#This Row],[Target Date]]="","",(TEXT(Table1333[[#This Row],[Target Date]],"MMM")))</f>
        <v>Aug</v>
      </c>
    </row>
    <row r="68" spans="1:15" ht="45" x14ac:dyDescent="0.25">
      <c r="A68" s="94">
        <f>IF((Table1333[[#This Row],[Date]]=""),"",ROW(A65))</f>
        <v>65</v>
      </c>
      <c r="B68" s="19">
        <v>45867</v>
      </c>
      <c r="C68" s="95">
        <v>0.46875</v>
      </c>
      <c r="D68" s="21" t="s">
        <v>349</v>
      </c>
      <c r="E68" s="96">
        <v>0.3</v>
      </c>
      <c r="F68" s="97" t="str">
        <f>IF(Table1333[[#This Row],[Loc ID]]="","",VLOOKUP(Table1333[[#This Row],[Loc ID]],Loc_ID[],2,0))</f>
        <v>Delivery Vehicles</v>
      </c>
      <c r="G68" s="22" t="s">
        <v>412</v>
      </c>
      <c r="H68" s="21" t="s">
        <v>370</v>
      </c>
      <c r="I68" s="21" t="s">
        <v>231</v>
      </c>
      <c r="J68" s="21" t="s">
        <v>413</v>
      </c>
      <c r="K68" s="21" t="s">
        <v>114</v>
      </c>
      <c r="L68" s="98">
        <v>45905</v>
      </c>
      <c r="M68" s="21" t="s">
        <v>94</v>
      </c>
      <c r="N68" s="21" t="str">
        <f>IF(Table1333[[#This Row],[Date]]="","",(TEXT(Table1333[[#This Row],[Date]],"MMM")))</f>
        <v>Jul</v>
      </c>
      <c r="O68" s="96" t="str">
        <f>IF(Table1333[[#This Row],[Target Date]]="","",(TEXT(Table1333[[#This Row],[Target Date]],"MMM")))</f>
        <v>Sep</v>
      </c>
    </row>
    <row r="69" spans="1:15" ht="30" x14ac:dyDescent="0.25">
      <c r="A69" s="94">
        <v>66</v>
      </c>
      <c r="B69" s="103">
        <v>45947</v>
      </c>
      <c r="C69" s="95">
        <v>0.63194444444444442</v>
      </c>
      <c r="D69" s="96" t="s">
        <v>414</v>
      </c>
      <c r="E69" s="96"/>
      <c r="F69" s="97" t="s">
        <v>415</v>
      </c>
      <c r="G69" s="22" t="s">
        <v>416</v>
      </c>
      <c r="H69" s="96" t="s">
        <v>370</v>
      </c>
      <c r="I69" s="96" t="s">
        <v>299</v>
      </c>
      <c r="J69" s="96" t="s">
        <v>417</v>
      </c>
      <c r="K69" s="96" t="s">
        <v>114</v>
      </c>
      <c r="L69" s="98"/>
      <c r="M69" s="96"/>
      <c r="N69" s="21" t="str">
        <f>IF(Table1333[[#This Row],[Date]]="","",(TEXT(Table1333[[#This Row],[Date]],"MMM")))</f>
        <v>Oct</v>
      </c>
      <c r="O69" s="96" t="str">
        <f>IF(Table1333[[#This Row],[Target Date]]="","",(TEXT(Table1333[[#This Row],[Target Date]],"MMM")))</f>
        <v/>
      </c>
    </row>
    <row r="70" spans="1:15" ht="30" x14ac:dyDescent="0.25">
      <c r="A70" s="94">
        <v>67</v>
      </c>
      <c r="B70" s="103" t="s">
        <v>418</v>
      </c>
      <c r="C70" s="95">
        <v>0.40694444444444444</v>
      </c>
      <c r="D70" s="96" t="s">
        <v>419</v>
      </c>
      <c r="E70" s="96"/>
      <c r="F70" s="97" t="s">
        <v>420</v>
      </c>
      <c r="G70" s="22" t="s">
        <v>421</v>
      </c>
      <c r="H70" s="96" t="s">
        <v>422</v>
      </c>
      <c r="I70" s="96" t="s">
        <v>299</v>
      </c>
      <c r="J70" s="96" t="s">
        <v>423</v>
      </c>
      <c r="K70" s="96" t="s">
        <v>424</v>
      </c>
      <c r="L70" s="98"/>
      <c r="M70" s="96"/>
      <c r="N70" s="21" t="str">
        <f>IF(Table1333[[#This Row],[Date]]="","",(TEXT(Table1333[[#This Row],[Date]],"MMM")))</f>
        <v>17/10/2025</v>
      </c>
      <c r="O70" s="96" t="str">
        <f>IF(Table1333[[#This Row],[Target Date]]="","",(TEXT(Table1333[[#This Row],[Target Date]],"MMM")))</f>
        <v/>
      </c>
    </row>
    <row r="71" spans="1:15" ht="30" x14ac:dyDescent="0.25">
      <c r="A71" s="94">
        <v>68</v>
      </c>
      <c r="B71" s="103" t="s">
        <v>418</v>
      </c>
      <c r="C71" s="95">
        <v>0.40694444444444444</v>
      </c>
      <c r="D71" s="96" t="s">
        <v>419</v>
      </c>
      <c r="E71" s="96"/>
      <c r="F71" s="97" t="s">
        <v>420</v>
      </c>
      <c r="G71" s="22" t="s">
        <v>425</v>
      </c>
      <c r="H71" s="96" t="s">
        <v>422</v>
      </c>
      <c r="I71" s="96" t="s">
        <v>299</v>
      </c>
      <c r="J71" s="96" t="s">
        <v>423</v>
      </c>
      <c r="K71" s="96" t="s">
        <v>426</v>
      </c>
      <c r="L71" s="98"/>
      <c r="M71" s="96"/>
      <c r="N71" s="21" t="str">
        <f>IF(Table1333[[#This Row],[Date]]="","",(TEXT(Table1333[[#This Row],[Date]],"MMM")))</f>
        <v>17/10/2025</v>
      </c>
      <c r="O71" s="96" t="str">
        <f>IF(Table1333[[#This Row],[Target Date]]="","",(TEXT(Table1333[[#This Row],[Target Date]],"MMM")))</f>
        <v/>
      </c>
    </row>
    <row r="72" spans="1:15" ht="30" x14ac:dyDescent="0.25">
      <c r="A72" s="94">
        <v>69</v>
      </c>
      <c r="B72" s="103" t="s">
        <v>418</v>
      </c>
      <c r="C72" s="95">
        <v>0.43402777777777779</v>
      </c>
      <c r="D72" s="96" t="s">
        <v>427</v>
      </c>
      <c r="E72" s="96"/>
      <c r="F72" s="97" t="s">
        <v>428</v>
      </c>
      <c r="G72" s="22" t="s">
        <v>429</v>
      </c>
      <c r="H72" s="96" t="s">
        <v>370</v>
      </c>
      <c r="I72" s="96" t="s">
        <v>231</v>
      </c>
      <c r="J72" s="96" t="s">
        <v>430</v>
      </c>
      <c r="K72" s="96" t="s">
        <v>373</v>
      </c>
      <c r="L72" s="98" t="s">
        <v>418</v>
      </c>
      <c r="M72" s="96" t="s">
        <v>94</v>
      </c>
      <c r="N72" s="21" t="str">
        <f>IF(Table1333[[#This Row],[Date]]="","",(TEXT(Table1333[[#This Row],[Date]],"MMM")))</f>
        <v>17/10/2025</v>
      </c>
      <c r="O72" s="96" t="str">
        <f>IF(Table1333[[#This Row],[Target Date]]="","",(TEXT(Table1333[[#This Row],[Target Date]],"MMM")))</f>
        <v>17/10/2025</v>
      </c>
    </row>
    <row r="73" spans="1:15" ht="30" x14ac:dyDescent="0.25">
      <c r="A73" s="94">
        <v>70</v>
      </c>
      <c r="B73" s="103" t="s">
        <v>418</v>
      </c>
      <c r="C73" s="95">
        <v>0.63541666666666663</v>
      </c>
      <c r="D73" s="96" t="s">
        <v>368</v>
      </c>
      <c r="E73" s="96"/>
      <c r="F73" s="97" t="s">
        <v>431</v>
      </c>
      <c r="G73" s="22" t="s">
        <v>432</v>
      </c>
      <c r="H73" s="96" t="s">
        <v>370</v>
      </c>
      <c r="I73" s="96" t="s">
        <v>410</v>
      </c>
      <c r="J73" s="96" t="s">
        <v>433</v>
      </c>
      <c r="K73" s="96" t="s">
        <v>434</v>
      </c>
      <c r="L73" s="98" t="s">
        <v>418</v>
      </c>
      <c r="M73" s="96" t="s">
        <v>94</v>
      </c>
      <c r="N73" s="21" t="str">
        <f>IF(Table1333[[#This Row],[Date]]="","",(TEXT(Table1333[[#This Row],[Date]],"MMM")))</f>
        <v>17/10/2025</v>
      </c>
      <c r="O73" s="96" t="str">
        <f>IF(Table1333[[#This Row],[Target Date]]="","",(TEXT(Table1333[[#This Row],[Target Date]],"MMM")))</f>
        <v>17/10/2025</v>
      </c>
    </row>
    <row r="74" spans="1:15" ht="30" x14ac:dyDescent="0.25">
      <c r="A74" s="94">
        <v>71</v>
      </c>
      <c r="B74" s="103" t="s">
        <v>418</v>
      </c>
      <c r="C74" s="95">
        <v>0.625</v>
      </c>
      <c r="D74" s="96" t="s">
        <v>435</v>
      </c>
      <c r="E74" s="96"/>
      <c r="F74" s="97" t="s">
        <v>436</v>
      </c>
      <c r="G74" s="22" t="s">
        <v>437</v>
      </c>
      <c r="H74" s="96" t="s">
        <v>370</v>
      </c>
      <c r="I74" s="96" t="s">
        <v>231</v>
      </c>
      <c r="J74" s="96" t="s">
        <v>438</v>
      </c>
      <c r="K74" s="96" t="s">
        <v>439</v>
      </c>
      <c r="L74" s="98" t="s">
        <v>440</v>
      </c>
      <c r="M74" s="96" t="s">
        <v>94</v>
      </c>
      <c r="N74" s="21" t="str">
        <f>IF(Table1333[[#This Row],[Date]]="","",(TEXT(Table1333[[#This Row],[Date]],"MMM")))</f>
        <v>17/10/2025</v>
      </c>
      <c r="O74" s="96" t="str">
        <f>IF(Table1333[[#This Row],[Target Date]]="","",(TEXT(Table1333[[#This Row],[Target Date]],"MMM")))</f>
        <v>20/10/2025</v>
      </c>
    </row>
    <row r="75" spans="1:15" ht="30" x14ac:dyDescent="0.25">
      <c r="A75" s="94">
        <v>72</v>
      </c>
      <c r="B75" s="103" t="s">
        <v>418</v>
      </c>
      <c r="C75" s="95">
        <v>0.5756944444444444</v>
      </c>
      <c r="D75" s="96" t="s">
        <v>441</v>
      </c>
      <c r="E75" s="96"/>
      <c r="F75" s="97" t="s">
        <v>442</v>
      </c>
      <c r="G75" s="22" t="s">
        <v>443</v>
      </c>
      <c r="H75" s="96" t="s">
        <v>370</v>
      </c>
      <c r="I75" s="96" t="s">
        <v>231</v>
      </c>
      <c r="J75" s="96" t="s">
        <v>444</v>
      </c>
      <c r="K75" s="96" t="s">
        <v>174</v>
      </c>
      <c r="L75" s="98" t="s">
        <v>418</v>
      </c>
      <c r="M75" s="96" t="s">
        <v>94</v>
      </c>
      <c r="N75" s="21" t="str">
        <f>IF(Table1333[[#This Row],[Date]]="","",(TEXT(Table1333[[#This Row],[Date]],"MMM")))</f>
        <v>17/10/2025</v>
      </c>
      <c r="O75" s="96" t="str">
        <f>IF(Table1333[[#This Row],[Target Date]]="","",(TEXT(Table1333[[#This Row],[Target Date]],"MMM")))</f>
        <v>17/10/2025</v>
      </c>
    </row>
    <row r="76" spans="1:15" ht="30" x14ac:dyDescent="0.25">
      <c r="A76" s="94">
        <v>73</v>
      </c>
      <c r="B76" s="103" t="s">
        <v>418</v>
      </c>
      <c r="C76" s="95">
        <v>0.61458333333333337</v>
      </c>
      <c r="D76" s="96" t="s">
        <v>445</v>
      </c>
      <c r="E76" s="96"/>
      <c r="F76" s="97" t="s">
        <v>446</v>
      </c>
      <c r="G76" s="22" t="s">
        <v>447</v>
      </c>
      <c r="H76" s="96" t="s">
        <v>370</v>
      </c>
      <c r="I76" s="96" t="s">
        <v>231</v>
      </c>
      <c r="J76" s="96" t="s">
        <v>448</v>
      </c>
      <c r="K76" s="96" t="s">
        <v>100</v>
      </c>
      <c r="L76" s="98"/>
      <c r="M76" s="96"/>
      <c r="N76" s="21" t="str">
        <f>IF(Table1333[[#This Row],[Date]]="","",(TEXT(Table1333[[#This Row],[Date]],"MMM")))</f>
        <v>17/10/2025</v>
      </c>
      <c r="O76" s="96" t="str">
        <f>IF(Table1333[[#This Row],[Target Date]]="","",(TEXT(Table1333[[#This Row],[Target Date]],"MMM")))</f>
        <v/>
      </c>
    </row>
    <row r="77" spans="1:15" ht="45" x14ac:dyDescent="0.25">
      <c r="A77" s="94">
        <v>74</v>
      </c>
      <c r="B77" s="103" t="s">
        <v>418</v>
      </c>
      <c r="C77" s="95">
        <v>0.625</v>
      </c>
      <c r="D77" s="96" t="s">
        <v>449</v>
      </c>
      <c r="E77" s="96"/>
      <c r="F77" s="97" t="s">
        <v>450</v>
      </c>
      <c r="G77" s="22" t="s">
        <v>451</v>
      </c>
      <c r="H77" s="96" t="s">
        <v>370</v>
      </c>
      <c r="I77" s="96" t="s">
        <v>231</v>
      </c>
      <c r="J77" s="96" t="s">
        <v>452</v>
      </c>
      <c r="K77" s="96" t="s">
        <v>453</v>
      </c>
      <c r="L77" s="98"/>
      <c r="M77" s="96"/>
      <c r="N77" s="21" t="str">
        <f>IF(Table1333[[#This Row],[Date]]="","",(TEXT(Table1333[[#This Row],[Date]],"MMM")))</f>
        <v>17/10/2025</v>
      </c>
      <c r="O77" s="96" t="str">
        <f>IF(Table1333[[#This Row],[Target Date]]="","",(TEXT(Table1333[[#This Row],[Target Date]],"MMM")))</f>
        <v/>
      </c>
    </row>
    <row r="78" spans="1:15" ht="45" x14ac:dyDescent="0.25">
      <c r="A78" s="94">
        <v>75</v>
      </c>
      <c r="B78" s="103" t="s">
        <v>418</v>
      </c>
      <c r="C78" s="95">
        <v>0.59722222222222221</v>
      </c>
      <c r="D78" s="96" t="s">
        <v>427</v>
      </c>
      <c r="E78" s="96"/>
      <c r="F78" s="97" t="s">
        <v>454</v>
      </c>
      <c r="G78" s="22" t="s">
        <v>455</v>
      </c>
      <c r="H78" s="96" t="s">
        <v>422</v>
      </c>
      <c r="I78" s="96" t="s">
        <v>456</v>
      </c>
      <c r="J78" s="96" t="s">
        <v>457</v>
      </c>
      <c r="K78" s="96" t="s">
        <v>458</v>
      </c>
      <c r="L78" s="98"/>
      <c r="M78" s="96"/>
      <c r="N78" s="21" t="str">
        <f>IF(Table1333[[#This Row],[Date]]="","",(TEXT(Table1333[[#This Row],[Date]],"MMM")))</f>
        <v>17/10/2025</v>
      </c>
      <c r="O78" s="96" t="str">
        <f>IF(Table1333[[#This Row],[Target Date]]="","",(TEXT(Table1333[[#This Row],[Target Date]],"MMM")))</f>
        <v/>
      </c>
    </row>
    <row r="79" spans="1:15" ht="30" x14ac:dyDescent="0.25">
      <c r="A79" s="94">
        <v>76</v>
      </c>
      <c r="B79" s="103" t="s">
        <v>418</v>
      </c>
      <c r="C79" s="95">
        <v>0.39861111111111114</v>
      </c>
      <c r="D79" s="96" t="s">
        <v>333</v>
      </c>
      <c r="E79" s="96"/>
      <c r="F79" s="97" t="s">
        <v>428</v>
      </c>
      <c r="G79" s="22" t="s">
        <v>459</v>
      </c>
      <c r="H79" s="96" t="s">
        <v>422</v>
      </c>
      <c r="I79" s="96" t="s">
        <v>231</v>
      </c>
      <c r="J79" s="96" t="s">
        <v>460</v>
      </c>
      <c r="K79" s="96" t="s">
        <v>114</v>
      </c>
      <c r="L79" s="98"/>
      <c r="M79" s="96"/>
      <c r="N79" s="21" t="str">
        <f>IF(Table1333[[#This Row],[Date]]="","",(TEXT(Table1333[[#This Row],[Date]],"MMM")))</f>
        <v>17/10/2025</v>
      </c>
      <c r="O79" s="96" t="str">
        <f>IF(Table1333[[#This Row],[Target Date]]="","",(TEXT(Table1333[[#This Row],[Target Date]],"MMM")))</f>
        <v/>
      </c>
    </row>
    <row r="80" spans="1:15" ht="60" x14ac:dyDescent="0.25">
      <c r="A80" s="94">
        <v>77</v>
      </c>
      <c r="B80" s="103" t="s">
        <v>418</v>
      </c>
      <c r="C80" s="95">
        <v>0.41666666666666669</v>
      </c>
      <c r="D80" s="96" t="s">
        <v>461</v>
      </c>
      <c r="E80" s="96"/>
      <c r="F80" s="97" t="s">
        <v>462</v>
      </c>
      <c r="G80" s="22" t="s">
        <v>463</v>
      </c>
      <c r="H80" s="96" t="s">
        <v>422</v>
      </c>
      <c r="I80" s="96" t="s">
        <v>231</v>
      </c>
      <c r="J80" s="96" t="s">
        <v>464</v>
      </c>
      <c r="K80" s="96" t="s">
        <v>465</v>
      </c>
      <c r="L80" s="98" t="s">
        <v>440</v>
      </c>
      <c r="M80" s="96" t="s">
        <v>94</v>
      </c>
      <c r="N80" s="21" t="str">
        <f>IF(Table1333[[#This Row],[Date]]="","",(TEXT(Table1333[[#This Row],[Date]],"MMM")))</f>
        <v>17/10/2025</v>
      </c>
      <c r="O80" s="96" t="str">
        <f>IF(Table1333[[#This Row],[Target Date]]="","",(TEXT(Table1333[[#This Row],[Target Date]],"MMM")))</f>
        <v>20/10/2025</v>
      </c>
    </row>
    <row r="81" spans="1:15" ht="30" x14ac:dyDescent="0.25">
      <c r="A81" s="94">
        <v>78</v>
      </c>
      <c r="B81" s="103" t="s">
        <v>418</v>
      </c>
      <c r="C81" s="95">
        <v>0.41666666666666669</v>
      </c>
      <c r="D81" s="96" t="s">
        <v>233</v>
      </c>
      <c r="E81" s="96"/>
      <c r="F81" s="97" t="s">
        <v>466</v>
      </c>
      <c r="G81" s="22" t="s">
        <v>459</v>
      </c>
      <c r="H81" s="96" t="s">
        <v>422</v>
      </c>
      <c r="I81" s="96" t="s">
        <v>231</v>
      </c>
      <c r="J81" s="96" t="s">
        <v>460</v>
      </c>
      <c r="K81" s="96" t="s">
        <v>114</v>
      </c>
      <c r="L81" s="98"/>
      <c r="M81" s="96"/>
      <c r="N81" s="21" t="str">
        <f>IF(Table1333[[#This Row],[Date]]="","",(TEXT(Table1333[[#This Row],[Date]],"MMM")))</f>
        <v>17/10/2025</v>
      </c>
      <c r="O81" s="96" t="str">
        <f>IF(Table1333[[#This Row],[Target Date]]="","",(TEXT(Table1333[[#This Row],[Target Date]],"MMM")))</f>
        <v/>
      </c>
    </row>
    <row r="82" spans="1:15" ht="45" x14ac:dyDescent="0.25">
      <c r="A82" s="94">
        <v>79</v>
      </c>
      <c r="B82" s="103" t="s">
        <v>418</v>
      </c>
      <c r="C82" s="95">
        <v>0.39583333333333331</v>
      </c>
      <c r="D82" s="96" t="s">
        <v>289</v>
      </c>
      <c r="E82" s="96"/>
      <c r="F82" s="97" t="s">
        <v>467</v>
      </c>
      <c r="G82" s="22" t="s">
        <v>468</v>
      </c>
      <c r="H82" s="96" t="s">
        <v>422</v>
      </c>
      <c r="I82" s="96" t="s">
        <v>231</v>
      </c>
      <c r="J82" s="96" t="s">
        <v>469</v>
      </c>
      <c r="K82" s="96" t="s">
        <v>470</v>
      </c>
      <c r="L82" s="98" t="s">
        <v>440</v>
      </c>
      <c r="M82" s="96" t="s">
        <v>94</v>
      </c>
      <c r="N82" s="21" t="str">
        <f>IF(Table1333[[#This Row],[Date]]="","",(TEXT(Table1333[[#This Row],[Date]],"MMM")))</f>
        <v>17/10/2025</v>
      </c>
      <c r="O82" s="96" t="str">
        <f>IF(Table1333[[#This Row],[Target Date]]="","",(TEXT(Table1333[[#This Row],[Target Date]],"MMM")))</f>
        <v>20/10/2025</v>
      </c>
    </row>
    <row r="83" spans="1:15" ht="30" x14ac:dyDescent="0.25">
      <c r="A83" s="94">
        <v>80</v>
      </c>
      <c r="B83" s="103" t="s">
        <v>418</v>
      </c>
      <c r="C83" s="95">
        <v>0.69791666666666663</v>
      </c>
      <c r="D83" s="96" t="s">
        <v>471</v>
      </c>
      <c r="E83" s="96"/>
      <c r="F83" s="97" t="s">
        <v>466</v>
      </c>
      <c r="G83" s="22" t="s">
        <v>472</v>
      </c>
      <c r="H83" s="96" t="s">
        <v>422</v>
      </c>
      <c r="I83" s="96" t="s">
        <v>473</v>
      </c>
      <c r="J83" s="96" t="s">
        <v>474</v>
      </c>
      <c r="K83" s="96" t="s">
        <v>475</v>
      </c>
      <c r="L83" s="98" t="s">
        <v>418</v>
      </c>
      <c r="M83" s="96" t="s">
        <v>94</v>
      </c>
      <c r="N83" s="21" t="str">
        <f>IF(Table1333[[#This Row],[Date]]="","",(TEXT(Table1333[[#This Row],[Date]],"MMM")))</f>
        <v>17/10/2025</v>
      </c>
      <c r="O83" s="96" t="str">
        <f>IF(Table1333[[#This Row],[Target Date]]="","",(TEXT(Table1333[[#This Row],[Target Date]],"MMM")))</f>
        <v>17/10/2025</v>
      </c>
    </row>
    <row r="84" spans="1:15" ht="45" x14ac:dyDescent="0.25">
      <c r="A84" s="94">
        <v>81</v>
      </c>
      <c r="B84" s="103" t="s">
        <v>418</v>
      </c>
      <c r="C84" s="95">
        <v>0.39583333333333331</v>
      </c>
      <c r="D84" s="96" t="s">
        <v>476</v>
      </c>
      <c r="E84" s="96"/>
      <c r="F84" s="97" t="s">
        <v>477</v>
      </c>
      <c r="G84" s="22" t="s">
        <v>478</v>
      </c>
      <c r="H84" s="96" t="s">
        <v>422</v>
      </c>
      <c r="I84" s="96" t="s">
        <v>231</v>
      </c>
      <c r="J84" s="96" t="s">
        <v>479</v>
      </c>
      <c r="K84" s="96" t="s">
        <v>282</v>
      </c>
      <c r="L84" s="98" t="s">
        <v>440</v>
      </c>
      <c r="M84" s="96" t="s">
        <v>94</v>
      </c>
      <c r="N84" s="21" t="str">
        <f>IF(Table1333[[#This Row],[Date]]="","",(TEXT(Table1333[[#This Row],[Date]],"MMM")))</f>
        <v>17/10/2025</v>
      </c>
      <c r="O84" s="96" t="str">
        <f>IF(Table1333[[#This Row],[Target Date]]="","",(TEXT(Table1333[[#This Row],[Target Date]],"MMM")))</f>
        <v>20/10/2025</v>
      </c>
    </row>
    <row r="85" spans="1:15" ht="30" x14ac:dyDescent="0.25">
      <c r="A85" s="94">
        <v>82</v>
      </c>
      <c r="B85" s="103" t="s">
        <v>418</v>
      </c>
      <c r="C85" s="95">
        <v>0.40833333333333333</v>
      </c>
      <c r="D85" s="96" t="s">
        <v>239</v>
      </c>
      <c r="E85" s="96"/>
      <c r="F85" s="97" t="s">
        <v>480</v>
      </c>
      <c r="G85" s="22" t="s">
        <v>481</v>
      </c>
      <c r="H85" s="96" t="s">
        <v>422</v>
      </c>
      <c r="I85" s="96" t="s">
        <v>231</v>
      </c>
      <c r="J85" s="96" t="s">
        <v>482</v>
      </c>
      <c r="K85" s="96" t="s">
        <v>114</v>
      </c>
      <c r="L85" s="98"/>
      <c r="M85" s="96"/>
      <c r="N85" s="21" t="str">
        <f>IF(Table1333[[#This Row],[Date]]="","",(TEXT(Table1333[[#This Row],[Date]],"MMM")))</f>
        <v>17/10/2025</v>
      </c>
      <c r="O85" s="96" t="str">
        <f>IF(Table1333[[#This Row],[Target Date]]="","",(TEXT(Table1333[[#This Row],[Target Date]],"MMM")))</f>
        <v/>
      </c>
    </row>
    <row r="86" spans="1:15" ht="45" x14ac:dyDescent="0.25">
      <c r="A86" s="94">
        <v>83</v>
      </c>
      <c r="B86" s="103" t="s">
        <v>418</v>
      </c>
      <c r="C86" s="95">
        <v>0.41666666666666669</v>
      </c>
      <c r="D86" s="96" t="s">
        <v>252</v>
      </c>
      <c r="E86" s="96"/>
      <c r="F86" s="97" t="s">
        <v>483</v>
      </c>
      <c r="G86" s="22" t="s">
        <v>484</v>
      </c>
      <c r="H86" s="96" t="s">
        <v>422</v>
      </c>
      <c r="I86" s="96" t="s">
        <v>231</v>
      </c>
      <c r="J86" s="96" t="s">
        <v>485</v>
      </c>
      <c r="K86" s="96" t="s">
        <v>486</v>
      </c>
      <c r="L86" s="98"/>
      <c r="M86" s="96"/>
      <c r="N86" s="21" t="str">
        <f>IF(Table1333[[#This Row],[Date]]="","",(TEXT(Table1333[[#This Row],[Date]],"MMM")))</f>
        <v>17/10/2025</v>
      </c>
      <c r="O86" s="96" t="str">
        <f>IF(Table1333[[#This Row],[Target Date]]="","",(TEXT(Table1333[[#This Row],[Target Date]],"MMM")))</f>
        <v/>
      </c>
    </row>
    <row r="87" spans="1:15" ht="30" x14ac:dyDescent="0.25">
      <c r="A87" s="94">
        <v>84</v>
      </c>
      <c r="B87" s="103" t="s">
        <v>418</v>
      </c>
      <c r="C87" s="95">
        <v>0.41666666666666669</v>
      </c>
      <c r="D87" s="96" t="s">
        <v>487</v>
      </c>
      <c r="E87" s="96"/>
      <c r="F87" s="97" t="s">
        <v>488</v>
      </c>
      <c r="G87" s="22" t="s">
        <v>489</v>
      </c>
      <c r="H87" s="96" t="s">
        <v>422</v>
      </c>
      <c r="I87" s="96" t="s">
        <v>410</v>
      </c>
      <c r="J87" s="96" t="s">
        <v>490</v>
      </c>
      <c r="K87" s="96" t="s">
        <v>491</v>
      </c>
      <c r="L87" s="98" t="s">
        <v>418</v>
      </c>
      <c r="M87" s="96" t="s">
        <v>94</v>
      </c>
      <c r="N87" s="21" t="str">
        <f>IF(Table1333[[#This Row],[Date]]="","",(TEXT(Table1333[[#This Row],[Date]],"MMM")))</f>
        <v>17/10/2025</v>
      </c>
      <c r="O87" s="96" t="str">
        <f>IF(Table1333[[#This Row],[Target Date]]="","",(TEXT(Table1333[[#This Row],[Target Date]],"MMM")))</f>
        <v>17/10/2025</v>
      </c>
    </row>
    <row r="88" spans="1:15" ht="30" x14ac:dyDescent="0.25">
      <c r="A88" s="94">
        <v>85</v>
      </c>
      <c r="B88" s="103" t="s">
        <v>418</v>
      </c>
      <c r="C88" s="95">
        <v>0.41666666666666669</v>
      </c>
      <c r="D88" s="96" t="s">
        <v>264</v>
      </c>
      <c r="E88" s="96"/>
      <c r="F88" s="97" t="s">
        <v>492</v>
      </c>
      <c r="G88" s="22" t="s">
        <v>493</v>
      </c>
      <c r="H88" s="96" t="s">
        <v>422</v>
      </c>
      <c r="I88" s="96" t="s">
        <v>231</v>
      </c>
      <c r="J88" s="96" t="s">
        <v>494</v>
      </c>
      <c r="K88" s="96" t="s">
        <v>491</v>
      </c>
      <c r="L88" s="98"/>
      <c r="M88" s="96"/>
      <c r="N88" s="21" t="str">
        <f>IF(Table1333[[#This Row],[Date]]="","",(TEXT(Table1333[[#This Row],[Date]],"MMM")))</f>
        <v>17/10/2025</v>
      </c>
      <c r="O88" s="96" t="str">
        <f>IF(Table1333[[#This Row],[Target Date]]="","",(TEXT(Table1333[[#This Row],[Target Date]],"MMM")))</f>
        <v/>
      </c>
    </row>
    <row r="89" spans="1:15" ht="30" x14ac:dyDescent="0.25">
      <c r="A89" s="94">
        <v>86</v>
      </c>
      <c r="B89" s="103" t="s">
        <v>418</v>
      </c>
      <c r="C89" s="95">
        <v>0.41666666666666669</v>
      </c>
      <c r="D89" s="96" t="s">
        <v>495</v>
      </c>
      <c r="E89" s="96"/>
      <c r="F89" s="97" t="s">
        <v>428</v>
      </c>
      <c r="G89" s="22" t="s">
        <v>398</v>
      </c>
      <c r="H89" s="96" t="s">
        <v>422</v>
      </c>
      <c r="I89" s="96" t="s">
        <v>496</v>
      </c>
      <c r="J89" s="96" t="s">
        <v>430</v>
      </c>
      <c r="K89" s="96" t="s">
        <v>497</v>
      </c>
      <c r="L89" s="98" t="s">
        <v>440</v>
      </c>
      <c r="M89" s="96" t="s">
        <v>94</v>
      </c>
      <c r="N89" s="21" t="str">
        <f>IF(Table1333[[#This Row],[Date]]="","",(TEXT(Table1333[[#This Row],[Date]],"MMM")))</f>
        <v>17/10/2025</v>
      </c>
      <c r="O89" s="96" t="str">
        <f>IF(Table1333[[#This Row],[Target Date]]="","",(TEXT(Table1333[[#This Row],[Target Date]],"MMM")))</f>
        <v>20/10/2025</v>
      </c>
    </row>
    <row r="90" spans="1:15" ht="30" x14ac:dyDescent="0.25">
      <c r="A90" s="94">
        <v>87</v>
      </c>
      <c r="B90" s="103" t="s">
        <v>418</v>
      </c>
      <c r="C90" s="95">
        <v>0.4236111111111111</v>
      </c>
      <c r="D90" s="96" t="s">
        <v>336</v>
      </c>
      <c r="E90" s="96"/>
      <c r="F90" s="97" t="s">
        <v>498</v>
      </c>
      <c r="G90" s="22" t="s">
        <v>499</v>
      </c>
      <c r="H90" s="96" t="s">
        <v>422</v>
      </c>
      <c r="I90" s="96" t="s">
        <v>231</v>
      </c>
      <c r="J90" s="96" t="s">
        <v>500</v>
      </c>
      <c r="K90" s="96" t="s">
        <v>100</v>
      </c>
      <c r="L90" s="98"/>
      <c r="M90" s="96"/>
      <c r="N90" s="21" t="str">
        <f>IF(Table1333[[#This Row],[Date]]="","",(TEXT(Table1333[[#This Row],[Date]],"MMM")))</f>
        <v>17/10/2025</v>
      </c>
      <c r="O90" s="96" t="str">
        <f>IF(Table1333[[#This Row],[Target Date]]="","",(TEXT(Table1333[[#This Row],[Target Date]],"MMM")))</f>
        <v/>
      </c>
    </row>
    <row r="91" spans="1:15" ht="45" x14ac:dyDescent="0.25">
      <c r="A91" s="94">
        <v>88</v>
      </c>
      <c r="B91" s="103" t="s">
        <v>418</v>
      </c>
      <c r="C91" s="95">
        <v>0.43055555555555558</v>
      </c>
      <c r="D91" s="96" t="s">
        <v>501</v>
      </c>
      <c r="E91" s="96"/>
      <c r="F91" s="97" t="s">
        <v>502</v>
      </c>
      <c r="G91" s="22" t="s">
        <v>503</v>
      </c>
      <c r="H91" s="96" t="s">
        <v>422</v>
      </c>
      <c r="I91" s="96" t="s">
        <v>504</v>
      </c>
      <c r="J91" s="96" t="s">
        <v>505</v>
      </c>
      <c r="K91" s="96" t="s">
        <v>100</v>
      </c>
      <c r="L91" s="98"/>
      <c r="M91" s="96"/>
      <c r="N91" s="21" t="str">
        <f>IF(Table1333[[#This Row],[Date]]="","",(TEXT(Table1333[[#This Row],[Date]],"MMM")))</f>
        <v>17/10/2025</v>
      </c>
      <c r="O91" s="96" t="str">
        <f>IF(Table1333[[#This Row],[Target Date]]="","",(TEXT(Table1333[[#This Row],[Target Date]],"MMM")))</f>
        <v/>
      </c>
    </row>
    <row r="92" spans="1:15" ht="30" x14ac:dyDescent="0.25">
      <c r="A92" s="94">
        <v>89</v>
      </c>
      <c r="B92" s="103" t="s">
        <v>418</v>
      </c>
      <c r="C92" s="95">
        <v>0.41944444444444445</v>
      </c>
      <c r="D92" s="96" t="s">
        <v>506</v>
      </c>
      <c r="E92" s="96"/>
      <c r="F92" s="97" t="s">
        <v>507</v>
      </c>
      <c r="G92" s="22" t="s">
        <v>508</v>
      </c>
      <c r="H92" s="96" t="s">
        <v>422</v>
      </c>
      <c r="I92" s="96" t="s">
        <v>231</v>
      </c>
      <c r="J92" s="96" t="s">
        <v>509</v>
      </c>
      <c r="K92" s="96" t="s">
        <v>510</v>
      </c>
      <c r="L92" s="98"/>
      <c r="M92" s="96"/>
      <c r="N92" s="21" t="str">
        <f>IF(Table1333[[#This Row],[Date]]="","",(TEXT(Table1333[[#This Row],[Date]],"MMM")))</f>
        <v>17/10/2025</v>
      </c>
      <c r="O92" s="96" t="str">
        <f>IF(Table1333[[#This Row],[Target Date]]="","",(TEXT(Table1333[[#This Row],[Target Date]],"MMM")))</f>
        <v/>
      </c>
    </row>
    <row r="93" spans="1:15" ht="30" x14ac:dyDescent="0.25">
      <c r="A93" s="94">
        <v>90</v>
      </c>
      <c r="B93" s="103" t="s">
        <v>418</v>
      </c>
      <c r="C93" s="95">
        <v>0.41944444444444445</v>
      </c>
      <c r="D93" s="96" t="s">
        <v>506</v>
      </c>
      <c r="E93" s="96"/>
      <c r="F93" s="97" t="s">
        <v>507</v>
      </c>
      <c r="G93" s="22" t="s">
        <v>511</v>
      </c>
      <c r="H93" s="96" t="s">
        <v>422</v>
      </c>
      <c r="I93" s="96" t="s">
        <v>231</v>
      </c>
      <c r="J93" s="96" t="s">
        <v>512</v>
      </c>
      <c r="K93" s="96" t="s">
        <v>510</v>
      </c>
      <c r="L93" s="98"/>
      <c r="M93" s="96"/>
      <c r="N93" s="21" t="str">
        <f>IF(Table1333[[#This Row],[Date]]="","",(TEXT(Table1333[[#This Row],[Date]],"MMM")))</f>
        <v>17/10/2025</v>
      </c>
      <c r="O93" s="96" t="str">
        <f>IF(Table1333[[#This Row],[Target Date]]="","",(TEXT(Table1333[[#This Row],[Target Date]],"MMM")))</f>
        <v/>
      </c>
    </row>
    <row r="94" spans="1:15" ht="30" x14ac:dyDescent="0.25">
      <c r="A94" s="94">
        <v>91</v>
      </c>
      <c r="B94" s="103" t="s">
        <v>418</v>
      </c>
      <c r="C94" s="95">
        <v>0.4201388888888889</v>
      </c>
      <c r="D94" s="96" t="s">
        <v>513</v>
      </c>
      <c r="E94" s="96"/>
      <c r="F94" s="97" t="s">
        <v>467</v>
      </c>
      <c r="G94" s="22" t="s">
        <v>514</v>
      </c>
      <c r="H94" s="96" t="s">
        <v>422</v>
      </c>
      <c r="I94" s="96" t="s">
        <v>231</v>
      </c>
      <c r="J94" s="96" t="s">
        <v>515</v>
      </c>
      <c r="K94" s="96" t="s">
        <v>516</v>
      </c>
      <c r="L94" s="98"/>
      <c r="M94" s="96"/>
      <c r="N94" s="21" t="str">
        <f>IF(Table1333[[#This Row],[Date]]="","",(TEXT(Table1333[[#This Row],[Date]],"MMM")))</f>
        <v>17/10/2025</v>
      </c>
      <c r="O94" s="96" t="str">
        <f>IF(Table1333[[#This Row],[Target Date]]="","",(TEXT(Table1333[[#This Row],[Target Date]],"MMM")))</f>
        <v/>
      </c>
    </row>
    <row r="95" spans="1:15" ht="30" x14ac:dyDescent="0.25">
      <c r="A95" s="94">
        <v>92</v>
      </c>
      <c r="B95" s="103" t="s">
        <v>418</v>
      </c>
      <c r="C95" s="95">
        <v>0.4201388888888889</v>
      </c>
      <c r="D95" s="96" t="s">
        <v>363</v>
      </c>
      <c r="E95" s="96"/>
      <c r="F95" s="97" t="s">
        <v>436</v>
      </c>
      <c r="G95" s="22" t="s">
        <v>517</v>
      </c>
      <c r="H95" s="96" t="s">
        <v>422</v>
      </c>
      <c r="I95" s="96" t="s">
        <v>231</v>
      </c>
      <c r="J95" s="96" t="s">
        <v>518</v>
      </c>
      <c r="K95" s="96" t="s">
        <v>424</v>
      </c>
      <c r="L95" s="98" t="s">
        <v>519</v>
      </c>
      <c r="M95" s="96" t="s">
        <v>94</v>
      </c>
      <c r="N95" s="21" t="str">
        <f>IF(Table1333[[#This Row],[Date]]="","",(TEXT(Table1333[[#This Row],[Date]],"MMM")))</f>
        <v>17/10/2025</v>
      </c>
      <c r="O95" s="96" t="str">
        <f>IF(Table1333[[#This Row],[Target Date]]="","",(TEXT(Table1333[[#This Row],[Target Date]],"MMM")))</f>
        <v>21/10/2025</v>
      </c>
    </row>
    <row r="96" spans="1:15" ht="30" x14ac:dyDescent="0.25">
      <c r="A96" s="94">
        <v>93</v>
      </c>
      <c r="B96" s="103" t="s">
        <v>418</v>
      </c>
      <c r="C96" s="95">
        <v>0.40972222222222221</v>
      </c>
      <c r="D96" s="96" t="s">
        <v>520</v>
      </c>
      <c r="E96" s="96"/>
      <c r="F96" s="97" t="s">
        <v>521</v>
      </c>
      <c r="G96" s="22" t="s">
        <v>522</v>
      </c>
      <c r="H96" s="96" t="s">
        <v>422</v>
      </c>
      <c r="I96" s="96" t="s">
        <v>231</v>
      </c>
      <c r="J96" s="96" t="s">
        <v>523</v>
      </c>
      <c r="K96" s="96" t="s">
        <v>524</v>
      </c>
      <c r="L96" s="98"/>
      <c r="M96" s="96"/>
      <c r="N96" s="21" t="str">
        <f>IF(Table1333[[#This Row],[Date]]="","",(TEXT(Table1333[[#This Row],[Date]],"MMM")))</f>
        <v>17/10/2025</v>
      </c>
      <c r="O96" s="96" t="str">
        <f>IF(Table1333[[#This Row],[Target Date]]="","",(TEXT(Table1333[[#This Row],[Target Date]],"MMM")))</f>
        <v/>
      </c>
    </row>
    <row r="97" spans="1:15" ht="30" x14ac:dyDescent="0.25">
      <c r="A97" s="94">
        <v>94</v>
      </c>
      <c r="B97" s="103" t="s">
        <v>418</v>
      </c>
      <c r="C97" s="95">
        <v>0.41666666666666669</v>
      </c>
      <c r="D97" s="96" t="s">
        <v>525</v>
      </c>
      <c r="E97" s="96"/>
      <c r="F97" s="97" t="s">
        <v>110</v>
      </c>
      <c r="G97" s="22" t="s">
        <v>526</v>
      </c>
      <c r="H97" s="96" t="s">
        <v>422</v>
      </c>
      <c r="I97" s="96" t="s">
        <v>231</v>
      </c>
      <c r="J97" s="96" t="s">
        <v>527</v>
      </c>
      <c r="K97" s="96" t="s">
        <v>528</v>
      </c>
      <c r="L97" s="98" t="s">
        <v>418</v>
      </c>
      <c r="M97" s="96" t="s">
        <v>94</v>
      </c>
      <c r="N97" s="21" t="str">
        <f>IF(Table1333[[#This Row],[Date]]="","",(TEXT(Table1333[[#This Row],[Date]],"MMM")))</f>
        <v>17/10/2025</v>
      </c>
      <c r="O97" s="96" t="str">
        <f>IF(Table1333[[#This Row],[Target Date]]="","",(TEXT(Table1333[[#This Row],[Target Date]],"MMM")))</f>
        <v>17/10/2025</v>
      </c>
    </row>
    <row r="98" spans="1:15" ht="30" x14ac:dyDescent="0.25">
      <c r="A98" s="94">
        <v>95</v>
      </c>
      <c r="B98" s="103" t="s">
        <v>418</v>
      </c>
      <c r="C98" s="95">
        <v>0.45833333333333331</v>
      </c>
      <c r="D98" s="96" t="s">
        <v>529</v>
      </c>
      <c r="E98" s="96"/>
      <c r="F98" s="97" t="s">
        <v>530</v>
      </c>
      <c r="G98" s="22" t="s">
        <v>531</v>
      </c>
      <c r="H98" s="96" t="s">
        <v>422</v>
      </c>
      <c r="I98" s="96" t="s">
        <v>532</v>
      </c>
      <c r="J98" s="96" t="s">
        <v>533</v>
      </c>
      <c r="K98" s="96" t="s">
        <v>534</v>
      </c>
      <c r="L98" s="98"/>
      <c r="M98" s="96"/>
      <c r="N98" s="21" t="str">
        <f>IF(Table1333[[#This Row],[Date]]="","",(TEXT(Table1333[[#This Row],[Date]],"MMM")))</f>
        <v>17/10/2025</v>
      </c>
      <c r="O98" s="96" t="str">
        <f>IF(Table1333[[#This Row],[Target Date]]="","",(TEXT(Table1333[[#This Row],[Target Date]],"MMM")))</f>
        <v/>
      </c>
    </row>
    <row r="99" spans="1:15" ht="30" x14ac:dyDescent="0.25">
      <c r="A99" s="94">
        <v>96</v>
      </c>
      <c r="B99" s="103" t="s">
        <v>418</v>
      </c>
      <c r="C99" s="95">
        <v>0.45833333333333331</v>
      </c>
      <c r="D99" s="96" t="s">
        <v>535</v>
      </c>
      <c r="E99" s="96"/>
      <c r="F99" s="97" t="s">
        <v>521</v>
      </c>
      <c r="G99" s="22" t="s">
        <v>536</v>
      </c>
      <c r="H99" s="96" t="s">
        <v>422</v>
      </c>
      <c r="I99" s="96" t="s">
        <v>231</v>
      </c>
      <c r="J99" s="96" t="s">
        <v>537</v>
      </c>
      <c r="K99" s="96" t="s">
        <v>174</v>
      </c>
      <c r="L99" s="98"/>
      <c r="M99" s="96"/>
      <c r="N99" s="21" t="str">
        <f>IF(Table1333[[#This Row],[Date]]="","",(TEXT(Table1333[[#This Row],[Date]],"MMM")))</f>
        <v>17/10/2025</v>
      </c>
      <c r="O99" s="96" t="str">
        <f>IF(Table1333[[#This Row],[Target Date]]="","",(TEXT(Table1333[[#This Row],[Target Date]],"MMM")))</f>
        <v/>
      </c>
    </row>
    <row r="100" spans="1:15" ht="45" x14ac:dyDescent="0.25">
      <c r="A100" s="94">
        <v>97</v>
      </c>
      <c r="B100" s="103" t="s">
        <v>418</v>
      </c>
      <c r="C100" s="95">
        <v>0.47916666666666669</v>
      </c>
      <c r="D100" s="96" t="s">
        <v>538</v>
      </c>
      <c r="E100" s="96"/>
      <c r="F100" s="97" t="s">
        <v>521</v>
      </c>
      <c r="G100" s="22" t="s">
        <v>539</v>
      </c>
      <c r="H100" s="96" t="s">
        <v>422</v>
      </c>
      <c r="I100" s="96" t="s">
        <v>231</v>
      </c>
      <c r="J100" s="96" t="s">
        <v>540</v>
      </c>
      <c r="K100" s="96" t="s">
        <v>114</v>
      </c>
      <c r="L100" s="98"/>
      <c r="M100" s="96"/>
      <c r="N100" s="21" t="str">
        <f>IF(Table1333[[#This Row],[Date]]="","",(TEXT(Table1333[[#This Row],[Date]],"MMM")))</f>
        <v>17/10/2025</v>
      </c>
      <c r="O100" s="96" t="str">
        <f>IF(Table1333[[#This Row],[Target Date]]="","",(TEXT(Table1333[[#This Row],[Target Date]],"MMM")))</f>
        <v/>
      </c>
    </row>
    <row r="101" spans="1:15" ht="30" x14ac:dyDescent="0.25">
      <c r="A101" s="94">
        <v>98</v>
      </c>
      <c r="B101" s="103" t="s">
        <v>418</v>
      </c>
      <c r="C101" s="95">
        <v>0.45833333333333331</v>
      </c>
      <c r="D101" s="96" t="s">
        <v>541</v>
      </c>
      <c r="E101" s="96"/>
      <c r="F101" s="97" t="s">
        <v>530</v>
      </c>
      <c r="G101" s="22" t="s">
        <v>542</v>
      </c>
      <c r="H101" s="96" t="s">
        <v>422</v>
      </c>
      <c r="I101" s="96" t="s">
        <v>543</v>
      </c>
      <c r="J101" s="96" t="s">
        <v>494</v>
      </c>
      <c r="K101" s="96" t="s">
        <v>114</v>
      </c>
      <c r="L101" s="98" t="s">
        <v>544</v>
      </c>
      <c r="M101" s="96" t="s">
        <v>94</v>
      </c>
      <c r="N101" s="21" t="str">
        <f>IF(Table1333[[#This Row],[Date]]="","",(TEXT(Table1333[[#This Row],[Date]],"MMM")))</f>
        <v>17/10/2025</v>
      </c>
      <c r="O101" s="96" t="str">
        <f>IF(Table1333[[#This Row],[Target Date]]="","",(TEXT(Table1333[[#This Row],[Target Date]],"MMM")))</f>
        <v>23/10/2025</v>
      </c>
    </row>
    <row r="102" spans="1:15" ht="30" x14ac:dyDescent="0.25">
      <c r="A102" s="94">
        <v>99</v>
      </c>
      <c r="B102" s="103">
        <v>45848</v>
      </c>
      <c r="C102" s="95">
        <v>0.55555555555555558</v>
      </c>
      <c r="D102" s="96" t="s">
        <v>471</v>
      </c>
      <c r="E102" s="96"/>
      <c r="F102" s="97" t="s">
        <v>110</v>
      </c>
      <c r="G102" s="22" t="s">
        <v>545</v>
      </c>
      <c r="H102" s="96" t="s">
        <v>422</v>
      </c>
      <c r="I102" s="96" t="s">
        <v>546</v>
      </c>
      <c r="J102" s="96" t="s">
        <v>430</v>
      </c>
      <c r="K102" s="96" t="s">
        <v>547</v>
      </c>
      <c r="L102" s="98" t="s">
        <v>519</v>
      </c>
      <c r="M102" s="96" t="s">
        <v>94</v>
      </c>
      <c r="N102" s="21" t="str">
        <f>IF(Table1333[[#This Row],[Date]]="","",(TEXT(Table1333[[#This Row],[Date]],"MMM")))</f>
        <v>Jul</v>
      </c>
      <c r="O102" s="96" t="str">
        <f>IF(Table1333[[#This Row],[Target Date]]="","",(TEXT(Table1333[[#This Row],[Target Date]],"MMM")))</f>
        <v>21/10/2025</v>
      </c>
    </row>
    <row r="103" spans="1:15" ht="30" x14ac:dyDescent="0.25">
      <c r="A103" s="94">
        <v>100</v>
      </c>
      <c r="B103" s="103" t="s">
        <v>544</v>
      </c>
      <c r="C103" s="95">
        <v>0.41666666666666669</v>
      </c>
      <c r="D103" s="96" t="s">
        <v>239</v>
      </c>
      <c r="E103" s="96"/>
      <c r="F103" s="97" t="s">
        <v>428</v>
      </c>
      <c r="G103" s="22" t="s">
        <v>548</v>
      </c>
      <c r="H103" s="96" t="s">
        <v>422</v>
      </c>
      <c r="I103" s="96" t="s">
        <v>549</v>
      </c>
      <c r="J103" s="96" t="s">
        <v>550</v>
      </c>
      <c r="K103" s="96" t="s">
        <v>132</v>
      </c>
      <c r="L103" s="98"/>
      <c r="M103" s="96"/>
      <c r="N103" s="21" t="str">
        <f>IF(Table1333[[#This Row],[Date]]="","",(TEXT(Table1333[[#This Row],[Date]],"MMM")))</f>
        <v>23/10/2025</v>
      </c>
      <c r="O103" s="96" t="str">
        <f>IF(Table1333[[#This Row],[Target Date]]="","",(TEXT(Table1333[[#This Row],[Target Date]],"MMM")))</f>
        <v/>
      </c>
    </row>
    <row r="104" spans="1:15" x14ac:dyDescent="0.25">
      <c r="A104" s="94">
        <v>101</v>
      </c>
      <c r="B104" s="103">
        <v>45698</v>
      </c>
      <c r="C104" s="95">
        <v>0.66666666666666663</v>
      </c>
      <c r="D104" s="96" t="s">
        <v>239</v>
      </c>
      <c r="E104" s="96"/>
      <c r="F104" s="97" t="s">
        <v>428</v>
      </c>
      <c r="G104" s="22" t="s">
        <v>551</v>
      </c>
      <c r="H104" s="96" t="s">
        <v>422</v>
      </c>
      <c r="I104" s="96" t="s">
        <v>549</v>
      </c>
      <c r="J104" s="96" t="s">
        <v>552</v>
      </c>
      <c r="K104" s="96" t="s">
        <v>132</v>
      </c>
      <c r="L104" s="98"/>
      <c r="M104" s="96"/>
      <c r="N104" s="21" t="str">
        <f>IF(Table1333[[#This Row],[Date]]="","",(TEXT(Table1333[[#This Row],[Date]],"MMM")))</f>
        <v>Feb</v>
      </c>
      <c r="O104" s="96" t="str">
        <f>IF(Table1333[[#This Row],[Target Date]]="","",(TEXT(Table1333[[#This Row],[Target Date]],"MMM")))</f>
        <v/>
      </c>
    </row>
    <row r="105" spans="1:15" ht="45" x14ac:dyDescent="0.25">
      <c r="A105" s="94">
        <v>102</v>
      </c>
      <c r="B105" s="103" t="s">
        <v>440</v>
      </c>
      <c r="C105" s="95">
        <v>0.41666666666666669</v>
      </c>
      <c r="D105" s="96" t="s">
        <v>506</v>
      </c>
      <c r="E105" s="96"/>
      <c r="F105" s="97" t="s">
        <v>428</v>
      </c>
      <c r="G105" s="22" t="s">
        <v>553</v>
      </c>
      <c r="H105" s="96" t="s">
        <v>422</v>
      </c>
      <c r="I105" s="96" t="s">
        <v>554</v>
      </c>
      <c r="J105" s="96" t="s">
        <v>555</v>
      </c>
      <c r="K105" s="96" t="s">
        <v>114</v>
      </c>
      <c r="L105" s="98"/>
      <c r="M105" s="96"/>
      <c r="N105" s="21" t="str">
        <f>IF(Table1333[[#This Row],[Date]]="","",(TEXT(Table1333[[#This Row],[Date]],"MMM")))</f>
        <v>20/10/2025</v>
      </c>
      <c r="O105" s="96" t="str">
        <f>IF(Table1333[[#This Row],[Target Date]]="","",(TEXT(Table1333[[#This Row],[Target Date]],"MMM")))</f>
        <v/>
      </c>
    </row>
    <row r="106" spans="1:15" ht="45" x14ac:dyDescent="0.25">
      <c r="A106" s="94">
        <v>103</v>
      </c>
      <c r="B106" s="103" t="s">
        <v>440</v>
      </c>
      <c r="C106" s="95">
        <v>0.45069444444444445</v>
      </c>
      <c r="D106" s="96" t="s">
        <v>556</v>
      </c>
      <c r="E106" s="96"/>
      <c r="F106" s="97" t="s">
        <v>557</v>
      </c>
      <c r="G106" s="22" t="s">
        <v>558</v>
      </c>
      <c r="H106" s="96" t="s">
        <v>422</v>
      </c>
      <c r="I106" s="96" t="s">
        <v>549</v>
      </c>
      <c r="J106" s="96" t="s">
        <v>559</v>
      </c>
      <c r="K106" s="96" t="s">
        <v>174</v>
      </c>
      <c r="L106" s="98"/>
      <c r="M106" s="96"/>
      <c r="N106" s="21" t="str">
        <f>IF(Table1333[[#This Row],[Date]]="","",(TEXT(Table1333[[#This Row],[Date]],"MMM")))</f>
        <v>20/10/2025</v>
      </c>
      <c r="O106" s="96" t="str">
        <f>IF(Table1333[[#This Row],[Target Date]]="","",(TEXT(Table1333[[#This Row],[Target Date]],"MMM")))</f>
        <v/>
      </c>
    </row>
    <row r="107" spans="1:15" ht="30" x14ac:dyDescent="0.25">
      <c r="A107" s="94">
        <v>104</v>
      </c>
      <c r="B107" s="103" t="s">
        <v>440</v>
      </c>
      <c r="C107" s="95">
        <v>0.42708333333333331</v>
      </c>
      <c r="D107" s="96" t="s">
        <v>535</v>
      </c>
      <c r="E107" s="96"/>
      <c r="F107" s="97" t="s">
        <v>521</v>
      </c>
      <c r="G107" s="22" t="s">
        <v>560</v>
      </c>
      <c r="H107" s="96" t="s">
        <v>422</v>
      </c>
      <c r="I107" s="96" t="s">
        <v>549</v>
      </c>
      <c r="J107" s="96" t="s">
        <v>561</v>
      </c>
      <c r="K107" s="96" t="s">
        <v>424</v>
      </c>
      <c r="L107" s="98" t="s">
        <v>440</v>
      </c>
      <c r="M107" s="96" t="s">
        <v>94</v>
      </c>
      <c r="N107" s="21" t="str">
        <f>IF(Table1333[[#This Row],[Date]]="","",(TEXT(Table1333[[#This Row],[Date]],"MMM")))</f>
        <v>20/10/2025</v>
      </c>
      <c r="O107" s="96" t="str">
        <f>IF(Table1333[[#This Row],[Target Date]]="","",(TEXT(Table1333[[#This Row],[Target Date]],"MMM")))</f>
        <v>20/10/2025</v>
      </c>
    </row>
    <row r="108" spans="1:15" ht="30" x14ac:dyDescent="0.25">
      <c r="A108" s="94">
        <v>105</v>
      </c>
      <c r="B108" s="103" t="s">
        <v>440</v>
      </c>
      <c r="C108" s="95">
        <v>0.42708333333333331</v>
      </c>
      <c r="D108" s="96" t="s">
        <v>562</v>
      </c>
      <c r="E108" s="96"/>
      <c r="F108" s="97" t="s">
        <v>110</v>
      </c>
      <c r="G108" s="22" t="s">
        <v>563</v>
      </c>
      <c r="H108" s="96" t="s">
        <v>422</v>
      </c>
      <c r="I108" s="96" t="s">
        <v>549</v>
      </c>
      <c r="J108" s="96" t="s">
        <v>564</v>
      </c>
      <c r="K108" s="96" t="s">
        <v>100</v>
      </c>
      <c r="L108" s="98"/>
      <c r="M108" s="96"/>
      <c r="N108" s="21" t="str">
        <f>IF(Table1333[[#This Row],[Date]]="","",(TEXT(Table1333[[#This Row],[Date]],"MMM")))</f>
        <v>20/10/2025</v>
      </c>
      <c r="O108" s="96" t="str">
        <f>IF(Table1333[[#This Row],[Target Date]]="","",(TEXT(Table1333[[#This Row],[Target Date]],"MMM")))</f>
        <v/>
      </c>
    </row>
    <row r="109" spans="1:15" ht="30" x14ac:dyDescent="0.25">
      <c r="A109" s="94">
        <v>106</v>
      </c>
      <c r="B109" s="103" t="s">
        <v>544</v>
      </c>
      <c r="C109" s="95">
        <v>0.69236111111111109</v>
      </c>
      <c r="D109" s="96" t="s">
        <v>264</v>
      </c>
      <c r="E109" s="96"/>
      <c r="F109" s="97" t="s">
        <v>492</v>
      </c>
      <c r="G109" s="22" t="s">
        <v>565</v>
      </c>
      <c r="H109" s="96" t="s">
        <v>422</v>
      </c>
      <c r="I109" s="96" t="s">
        <v>549</v>
      </c>
      <c r="J109" s="96" t="s">
        <v>494</v>
      </c>
      <c r="K109" s="96" t="s">
        <v>566</v>
      </c>
      <c r="L109" s="98"/>
      <c r="M109" s="96"/>
      <c r="N109" s="21" t="str">
        <f>IF(Table1333[[#This Row],[Date]]="","",(TEXT(Table1333[[#This Row],[Date]],"MMM")))</f>
        <v>23/10/2025</v>
      </c>
      <c r="O109" s="96" t="str">
        <f>IF(Table1333[[#This Row],[Target Date]]="","",(TEXT(Table1333[[#This Row],[Target Date]],"MMM")))</f>
        <v/>
      </c>
    </row>
    <row r="110" spans="1:15" ht="30" x14ac:dyDescent="0.25">
      <c r="A110" s="94">
        <v>107</v>
      </c>
      <c r="B110" s="103" t="s">
        <v>544</v>
      </c>
      <c r="C110" s="95">
        <v>0.70833333333333337</v>
      </c>
      <c r="D110" s="96" t="s">
        <v>239</v>
      </c>
      <c r="E110" s="96"/>
      <c r="F110" s="97" t="s">
        <v>567</v>
      </c>
      <c r="G110" s="22" t="s">
        <v>568</v>
      </c>
      <c r="H110" s="96" t="s">
        <v>422</v>
      </c>
      <c r="I110" s="96" t="s">
        <v>549</v>
      </c>
      <c r="J110" s="96" t="s">
        <v>569</v>
      </c>
      <c r="K110" s="96" t="s">
        <v>132</v>
      </c>
      <c r="L110" s="98"/>
      <c r="M110" s="96"/>
      <c r="N110" s="21" t="str">
        <f>IF(Table1333[[#This Row],[Date]]="","",(TEXT(Table1333[[#This Row],[Date]],"MMM")))</f>
        <v>23/10/2025</v>
      </c>
      <c r="O110" s="96" t="str">
        <f>IF(Table1333[[#This Row],[Target Date]]="","",(TEXT(Table1333[[#This Row],[Target Date]],"MMM")))</f>
        <v/>
      </c>
    </row>
    <row r="111" spans="1:15" ht="30" x14ac:dyDescent="0.25">
      <c r="A111" s="94">
        <v>108</v>
      </c>
      <c r="B111" s="103" t="s">
        <v>544</v>
      </c>
      <c r="C111" s="95">
        <v>0.70833333333333337</v>
      </c>
      <c r="D111" s="96" t="s">
        <v>239</v>
      </c>
      <c r="E111" s="96"/>
      <c r="F111" s="97" t="s">
        <v>567</v>
      </c>
      <c r="G111" s="22" t="s">
        <v>570</v>
      </c>
      <c r="H111" s="96" t="s">
        <v>422</v>
      </c>
      <c r="I111" s="96" t="s">
        <v>549</v>
      </c>
      <c r="J111" s="96" t="s">
        <v>571</v>
      </c>
      <c r="K111" s="96" t="s">
        <v>572</v>
      </c>
      <c r="L111" s="98"/>
      <c r="M111" s="96"/>
      <c r="N111" s="21" t="str">
        <f>IF(Table1333[[#This Row],[Date]]="","",(TEXT(Table1333[[#This Row],[Date]],"MMM")))</f>
        <v>23/10/2025</v>
      </c>
      <c r="O111" s="96" t="str">
        <f>IF(Table1333[[#This Row],[Target Date]]="","",(TEXT(Table1333[[#This Row],[Target Date]],"MMM")))</f>
        <v/>
      </c>
    </row>
    <row r="112" spans="1:15" ht="30" x14ac:dyDescent="0.25">
      <c r="A112" s="94">
        <v>109</v>
      </c>
      <c r="B112" s="103" t="s">
        <v>544</v>
      </c>
      <c r="C112" s="95">
        <v>0.70833333333333337</v>
      </c>
      <c r="D112" s="96" t="s">
        <v>239</v>
      </c>
      <c r="E112" s="96"/>
      <c r="F112" s="97" t="s">
        <v>567</v>
      </c>
      <c r="G112" s="22" t="s">
        <v>573</v>
      </c>
      <c r="H112" s="96" t="s">
        <v>422</v>
      </c>
      <c r="I112" s="96" t="s">
        <v>549</v>
      </c>
      <c r="J112" s="96" t="s">
        <v>574</v>
      </c>
      <c r="K112" s="96" t="s">
        <v>572</v>
      </c>
      <c r="L112" s="98"/>
      <c r="M112" s="96"/>
      <c r="N112" s="21" t="str">
        <f>IF(Table1333[[#This Row],[Date]]="","",(TEXT(Table1333[[#This Row],[Date]],"MMM")))</f>
        <v>23/10/2025</v>
      </c>
      <c r="O112" s="96" t="str">
        <f>IF(Table1333[[#This Row],[Target Date]]="","",(TEXT(Table1333[[#This Row],[Target Date]],"MMM")))</f>
        <v/>
      </c>
    </row>
    <row r="113" spans="1:15" ht="45" x14ac:dyDescent="0.25">
      <c r="A113" s="94">
        <v>110</v>
      </c>
      <c r="B113" s="103" t="s">
        <v>575</v>
      </c>
      <c r="C113" s="95">
        <v>0.38541666666666669</v>
      </c>
      <c r="D113" s="96" t="s">
        <v>427</v>
      </c>
      <c r="E113" s="96"/>
      <c r="F113" s="97" t="s">
        <v>567</v>
      </c>
      <c r="G113" s="22" t="s">
        <v>576</v>
      </c>
      <c r="H113" s="96" t="s">
        <v>422</v>
      </c>
      <c r="I113" s="96" t="s">
        <v>577</v>
      </c>
      <c r="J113" s="96" t="s">
        <v>578</v>
      </c>
      <c r="K113" s="96" t="s">
        <v>579</v>
      </c>
      <c r="L113" s="98" t="s">
        <v>580</v>
      </c>
      <c r="M113" s="96" t="s">
        <v>50</v>
      </c>
      <c r="N113" s="21" t="str">
        <f>IF(Table1333[[#This Row],[Date]]="","",(TEXT(Table1333[[#This Row],[Date]],"MMM")))</f>
        <v>19/11/2025</v>
      </c>
      <c r="O113" s="96" t="str">
        <f>IF(Table1333[[#This Row],[Target Date]]="","",(TEXT(Table1333[[#This Row],[Target Date]],"MMM")))</f>
        <v>30/11/2025</v>
      </c>
    </row>
    <row r="114" spans="1:15" ht="30" x14ac:dyDescent="0.25">
      <c r="A114" s="94">
        <v>111</v>
      </c>
      <c r="B114" s="103" t="s">
        <v>575</v>
      </c>
      <c r="C114" s="95">
        <v>0.38541666666666669</v>
      </c>
      <c r="D114" s="96" t="s">
        <v>427</v>
      </c>
      <c r="E114" s="96"/>
      <c r="F114" s="97" t="s">
        <v>567</v>
      </c>
      <c r="G114" s="22" t="s">
        <v>581</v>
      </c>
      <c r="H114" s="96" t="s">
        <v>422</v>
      </c>
      <c r="I114" s="96" t="s">
        <v>582</v>
      </c>
      <c r="J114" s="96" t="s">
        <v>583</v>
      </c>
      <c r="K114" s="96" t="s">
        <v>579</v>
      </c>
      <c r="L114" s="98" t="s">
        <v>575</v>
      </c>
      <c r="M114" s="96" t="s">
        <v>94</v>
      </c>
      <c r="N114" s="21" t="str">
        <f>IF(Table1333[[#This Row],[Date]]="","",(TEXT(Table1333[[#This Row],[Date]],"MMM")))</f>
        <v>19/11/2025</v>
      </c>
      <c r="O114" s="96" t="str">
        <f>IF(Table1333[[#This Row],[Target Date]]="","",(TEXT(Table1333[[#This Row],[Target Date]],"MMM")))</f>
        <v>19/11/2025</v>
      </c>
    </row>
    <row r="115" spans="1:15" ht="45" x14ac:dyDescent="0.25">
      <c r="A115" s="94">
        <v>112</v>
      </c>
      <c r="B115" s="103" t="s">
        <v>575</v>
      </c>
      <c r="C115" s="95">
        <v>0.38541666666666669</v>
      </c>
      <c r="D115" s="96" t="s">
        <v>427</v>
      </c>
      <c r="E115" s="96"/>
      <c r="F115" s="97" t="s">
        <v>567</v>
      </c>
      <c r="G115" s="22" t="s">
        <v>584</v>
      </c>
      <c r="H115" s="96" t="s">
        <v>422</v>
      </c>
      <c r="I115" s="96" t="s">
        <v>585</v>
      </c>
      <c r="J115" s="96" t="s">
        <v>586</v>
      </c>
      <c r="K115" s="96" t="s">
        <v>579</v>
      </c>
      <c r="L115" s="98" t="s">
        <v>587</v>
      </c>
      <c r="M115" s="96"/>
      <c r="N115" s="21" t="str">
        <f>IF(Table1333[[#This Row],[Date]]="","",(TEXT(Table1333[[#This Row],[Date]],"MMM")))</f>
        <v>19/11/2025</v>
      </c>
      <c r="O115" s="96" t="str">
        <f>IF(Table1333[[#This Row],[Target Date]]="","",(TEXT(Table1333[[#This Row],[Target Date]],"MMM")))</f>
        <v>28/02/2026</v>
      </c>
    </row>
    <row r="116" spans="1:15" ht="30" x14ac:dyDescent="0.25">
      <c r="A116" s="94">
        <v>113</v>
      </c>
      <c r="B116" s="103" t="s">
        <v>575</v>
      </c>
      <c r="C116" s="95">
        <v>0.38541666666666669</v>
      </c>
      <c r="D116" s="96" t="s">
        <v>427</v>
      </c>
      <c r="E116" s="96"/>
      <c r="F116" s="97" t="s">
        <v>567</v>
      </c>
      <c r="G116" s="22" t="s">
        <v>588</v>
      </c>
      <c r="H116" s="96" t="s">
        <v>422</v>
      </c>
      <c r="I116" s="96" t="s">
        <v>577</v>
      </c>
      <c r="J116" s="96" t="s">
        <v>589</v>
      </c>
      <c r="K116" s="96" t="s">
        <v>590</v>
      </c>
      <c r="L116" s="98"/>
      <c r="M116" s="96"/>
      <c r="N116" s="21" t="str">
        <f>IF(Table1333[[#This Row],[Date]]="","",(TEXT(Table1333[[#This Row],[Date]],"MMM")))</f>
        <v>19/11/2025</v>
      </c>
      <c r="O116" s="96" t="str">
        <f>IF(Table1333[[#This Row],[Target Date]]="","",(TEXT(Table1333[[#This Row],[Target Date]],"MMM")))</f>
        <v/>
      </c>
    </row>
    <row r="117" spans="1:15" ht="30" x14ac:dyDescent="0.25">
      <c r="A117" s="94">
        <v>114</v>
      </c>
      <c r="B117" s="103" t="s">
        <v>575</v>
      </c>
      <c r="C117" s="95">
        <v>0.38541666666666669</v>
      </c>
      <c r="D117" s="96" t="s">
        <v>427</v>
      </c>
      <c r="E117" s="96"/>
      <c r="F117" s="97" t="s">
        <v>567</v>
      </c>
      <c r="G117" s="22" t="s">
        <v>591</v>
      </c>
      <c r="H117" s="96" t="s">
        <v>422</v>
      </c>
      <c r="I117" s="96" t="s">
        <v>577</v>
      </c>
      <c r="J117" s="96" t="s">
        <v>592</v>
      </c>
      <c r="K117" s="96" t="s">
        <v>590</v>
      </c>
      <c r="L117" s="98"/>
      <c r="M117" s="96"/>
      <c r="N117" s="21" t="str">
        <f>IF(Table1333[[#This Row],[Date]]="","",(TEXT(Table1333[[#This Row],[Date]],"MMM")))</f>
        <v>19/11/2025</v>
      </c>
      <c r="O117" s="96" t="str">
        <f>IF(Table1333[[#This Row],[Target Date]]="","",(TEXT(Table1333[[#This Row],[Target Date]],"MMM")))</f>
        <v/>
      </c>
    </row>
    <row r="118" spans="1:15" ht="30" x14ac:dyDescent="0.25">
      <c r="A118" s="94">
        <v>115</v>
      </c>
      <c r="B118" s="103" t="s">
        <v>593</v>
      </c>
      <c r="C118" s="95">
        <v>0.4513888888888889</v>
      </c>
      <c r="D118" s="96" t="s">
        <v>427</v>
      </c>
      <c r="E118" s="96"/>
      <c r="F118" s="97" t="s">
        <v>567</v>
      </c>
      <c r="G118" s="22" t="s">
        <v>594</v>
      </c>
      <c r="H118" s="96" t="s">
        <v>422</v>
      </c>
      <c r="I118" s="96" t="s">
        <v>577</v>
      </c>
      <c r="J118" s="96" t="s">
        <v>595</v>
      </c>
      <c r="K118" s="96" t="s">
        <v>596</v>
      </c>
      <c r="L118" s="98"/>
      <c r="M118" s="96"/>
      <c r="N118" s="21" t="str">
        <f>IF(Table1333[[#This Row],[Date]]="","",(TEXT(Table1333[[#This Row],[Date]],"MMM")))</f>
        <v>20/11/2025</v>
      </c>
      <c r="O118" s="96" t="str">
        <f>IF(Table1333[[#This Row],[Target Date]]="","",(TEXT(Table1333[[#This Row],[Target Date]],"MMM")))</f>
        <v/>
      </c>
    </row>
    <row r="119" spans="1:15" ht="30" x14ac:dyDescent="0.25">
      <c r="A119" s="94">
        <v>116</v>
      </c>
      <c r="B119" s="103" t="s">
        <v>593</v>
      </c>
      <c r="C119" s="95">
        <v>0.4513888888888889</v>
      </c>
      <c r="D119" s="96" t="s">
        <v>427</v>
      </c>
      <c r="E119" s="96"/>
      <c r="F119" s="97" t="s">
        <v>567</v>
      </c>
      <c r="G119" s="22" t="s">
        <v>597</v>
      </c>
      <c r="H119" s="96" t="s">
        <v>422</v>
      </c>
      <c r="I119" s="96" t="s">
        <v>577</v>
      </c>
      <c r="J119" s="96" t="s">
        <v>598</v>
      </c>
      <c r="K119" s="96" t="s">
        <v>596</v>
      </c>
      <c r="L119" s="98"/>
      <c r="M119" s="96"/>
      <c r="N119" s="21" t="str">
        <f>IF(Table1333[[#This Row],[Date]]="","",(TEXT(Table1333[[#This Row],[Date]],"MMM")))</f>
        <v>20/11/2025</v>
      </c>
      <c r="O119" s="96" t="str">
        <f>IF(Table1333[[#This Row],[Target Date]]="","",(TEXT(Table1333[[#This Row],[Target Date]],"MMM")))</f>
        <v/>
      </c>
    </row>
    <row r="120" spans="1:15" x14ac:dyDescent="0.25">
      <c r="A120" s="94"/>
      <c r="B120" s="103"/>
      <c r="C120" s="95"/>
      <c r="D120" s="96"/>
      <c r="E120" s="96"/>
      <c r="F120" s="97"/>
      <c r="G120" s="22"/>
      <c r="H120" s="96"/>
      <c r="I120" s="96"/>
      <c r="J120" s="96"/>
      <c r="K120" s="96"/>
      <c r="L120" s="98"/>
      <c r="M120" s="96"/>
      <c r="N120" s="21"/>
      <c r="O120" s="96"/>
    </row>
    <row r="121" spans="1:15" x14ac:dyDescent="0.25">
      <c r="A121" s="18"/>
      <c r="B121" s="19"/>
      <c r="C121" s="20"/>
      <c r="D121" s="21"/>
      <c r="E121" s="21"/>
      <c r="F121" s="22"/>
      <c r="G121" s="22"/>
      <c r="H121" s="21"/>
      <c r="I121" s="21"/>
      <c r="J121" s="21"/>
      <c r="K121" s="21"/>
      <c r="L121" s="21"/>
      <c r="M121" s="21"/>
      <c r="N121" s="21"/>
    </row>
    <row r="122" spans="1:15" x14ac:dyDescent="0.25">
      <c r="A122" s="18"/>
      <c r="B122" s="19"/>
      <c r="C122" s="20"/>
      <c r="D122" s="21"/>
      <c r="E122" s="21"/>
      <c r="F122" s="22"/>
      <c r="G122" s="22"/>
      <c r="H122" s="21"/>
      <c r="I122" s="21"/>
      <c r="J122" s="21"/>
      <c r="K122" s="21"/>
      <c r="L122" s="21"/>
      <c r="M122" s="21"/>
      <c r="N122" s="21"/>
    </row>
    <row r="123" spans="1:15" x14ac:dyDescent="0.25">
      <c r="A123" s="18"/>
      <c r="B123" s="19"/>
      <c r="C123" s="20"/>
      <c r="D123" s="21"/>
      <c r="E123" s="21"/>
      <c r="F123" s="22"/>
      <c r="G123" s="22"/>
      <c r="H123" s="21"/>
      <c r="I123" s="21"/>
      <c r="J123" s="21"/>
      <c r="K123" s="21"/>
      <c r="L123" s="21"/>
      <c r="M123" s="21"/>
      <c r="N123" s="21"/>
    </row>
    <row r="124" spans="1:15" x14ac:dyDescent="0.25">
      <c r="A124" s="18"/>
      <c r="B124" s="19"/>
      <c r="C124" s="20"/>
      <c r="D124" s="21"/>
      <c r="E124" s="21"/>
      <c r="F124" s="22"/>
      <c r="G124" s="22"/>
      <c r="H124" s="21"/>
      <c r="I124" s="21"/>
      <c r="J124" s="21"/>
      <c r="K124" s="21"/>
      <c r="L124" s="21"/>
      <c r="M124" s="21"/>
      <c r="N124" s="21"/>
    </row>
    <row r="125" spans="1:15" x14ac:dyDescent="0.25">
      <c r="A125" s="18"/>
      <c r="B125" s="19"/>
      <c r="C125" s="20"/>
      <c r="D125" s="21"/>
      <c r="E125" s="21"/>
      <c r="F125" s="22"/>
      <c r="G125" s="22"/>
      <c r="H125" s="21"/>
      <c r="I125" s="21"/>
      <c r="J125" s="21"/>
      <c r="K125" s="21"/>
      <c r="L125" s="21"/>
      <c r="M125" s="21"/>
      <c r="N125" s="21"/>
    </row>
    <row r="126" spans="1:15" x14ac:dyDescent="0.25">
      <c r="A126" s="18"/>
      <c r="B126" s="19"/>
      <c r="C126" s="20"/>
      <c r="D126" s="21"/>
      <c r="E126" s="21"/>
      <c r="F126" s="22"/>
      <c r="G126" s="22"/>
      <c r="H126" s="21"/>
      <c r="I126" s="21"/>
      <c r="J126" s="21"/>
      <c r="K126" s="21"/>
      <c r="L126" s="21"/>
      <c r="M126" s="21"/>
      <c r="N126" s="21"/>
    </row>
    <row r="127" spans="1:15" x14ac:dyDescent="0.25">
      <c r="A127" s="18"/>
      <c r="B127" s="19"/>
      <c r="C127" s="20"/>
      <c r="D127" s="21"/>
      <c r="E127" s="21"/>
      <c r="F127" s="22"/>
      <c r="G127" s="22"/>
      <c r="H127" s="21"/>
      <c r="I127" s="21"/>
      <c r="J127" s="21"/>
      <c r="K127" s="21"/>
      <c r="L127" s="21"/>
      <c r="M127" s="21"/>
      <c r="N127" s="21"/>
    </row>
    <row r="128" spans="1:15" x14ac:dyDescent="0.25">
      <c r="A128" s="18"/>
      <c r="B128" s="19"/>
      <c r="C128" s="20"/>
      <c r="D128" s="21"/>
      <c r="E128" s="21"/>
      <c r="F128" s="22"/>
      <c r="G128" s="22"/>
      <c r="H128" s="21"/>
      <c r="I128" s="21"/>
      <c r="J128" s="21"/>
      <c r="K128" s="21"/>
      <c r="L128" s="21"/>
      <c r="M128" s="21"/>
      <c r="N128" s="21"/>
    </row>
    <row r="129" spans="1:14" x14ac:dyDescent="0.25">
      <c r="A129" s="18"/>
      <c r="B129" s="19"/>
      <c r="C129" s="20"/>
      <c r="D129" s="21"/>
      <c r="E129" s="21"/>
      <c r="F129" s="22"/>
      <c r="G129" s="22"/>
      <c r="H129" s="21"/>
      <c r="I129" s="21"/>
      <c r="J129" s="21"/>
      <c r="K129" s="21"/>
      <c r="L129" s="21"/>
      <c r="M129" s="21"/>
      <c r="N129" s="21"/>
    </row>
    <row r="130" spans="1:14" x14ac:dyDescent="0.25">
      <c r="A130" s="18"/>
      <c r="B130" s="19"/>
      <c r="C130" s="20"/>
      <c r="D130" s="21"/>
      <c r="E130" s="21"/>
      <c r="F130" s="22"/>
      <c r="G130" s="22"/>
      <c r="H130" s="21"/>
      <c r="I130" s="21"/>
      <c r="J130" s="21"/>
      <c r="K130" s="21"/>
      <c r="L130" s="21"/>
      <c r="M130" s="21"/>
      <c r="N130" s="21"/>
    </row>
    <row r="131" spans="1:14" x14ac:dyDescent="0.25">
      <c r="A131" s="18"/>
      <c r="B131" s="19"/>
      <c r="C131" s="20"/>
      <c r="D131" s="21"/>
      <c r="E131" s="21"/>
      <c r="F131" s="22"/>
      <c r="G131" s="22"/>
      <c r="H131" s="21"/>
      <c r="I131" s="21"/>
      <c r="J131" s="21"/>
      <c r="K131" s="21"/>
      <c r="L131" s="21"/>
      <c r="M131" s="21"/>
      <c r="N131" s="21"/>
    </row>
    <row r="132" spans="1:14" x14ac:dyDescent="0.25">
      <c r="A132" s="18"/>
      <c r="B132" s="19"/>
      <c r="C132" s="20"/>
      <c r="D132" s="21"/>
      <c r="E132" s="21"/>
      <c r="F132" s="22"/>
      <c r="G132" s="22"/>
      <c r="H132" s="21"/>
      <c r="I132" s="21"/>
      <c r="J132" s="21"/>
      <c r="K132" s="21"/>
      <c r="L132" s="21"/>
      <c r="M132" s="21"/>
      <c r="N132" s="21"/>
    </row>
    <row r="133" spans="1:14" x14ac:dyDescent="0.25">
      <c r="A133" s="18"/>
      <c r="B133" s="19"/>
      <c r="C133" s="20"/>
      <c r="D133" s="21"/>
      <c r="E133" s="21"/>
      <c r="F133" s="22"/>
      <c r="G133" s="22"/>
      <c r="H133" s="21"/>
      <c r="I133" s="21"/>
      <c r="J133" s="21"/>
      <c r="K133" s="21"/>
      <c r="L133" s="21"/>
      <c r="M133" s="21"/>
      <c r="N133" s="21"/>
    </row>
    <row r="134" spans="1:14" x14ac:dyDescent="0.25">
      <c r="A134" s="18"/>
      <c r="B134" s="19"/>
      <c r="C134" s="20"/>
      <c r="D134" s="21"/>
      <c r="E134" s="21"/>
      <c r="F134" s="22"/>
      <c r="G134" s="22"/>
      <c r="H134" s="21"/>
      <c r="I134" s="21"/>
      <c r="J134" s="21"/>
      <c r="K134" s="21"/>
      <c r="L134" s="21"/>
      <c r="M134" s="21"/>
      <c r="N134" s="21"/>
    </row>
    <row r="135" spans="1:14" x14ac:dyDescent="0.25">
      <c r="A135" s="18"/>
      <c r="B135" s="19"/>
      <c r="C135" s="20"/>
      <c r="D135" s="21"/>
      <c r="E135" s="21"/>
      <c r="F135" s="22"/>
      <c r="G135" s="22"/>
      <c r="H135" s="21"/>
      <c r="I135" s="21"/>
      <c r="J135" s="21"/>
      <c r="K135" s="21"/>
      <c r="L135" s="21"/>
      <c r="M135" s="21"/>
      <c r="N135" s="21"/>
    </row>
    <row r="136" spans="1:14" x14ac:dyDescent="0.25">
      <c r="A136" s="18"/>
      <c r="B136" s="19"/>
      <c r="C136" s="20"/>
      <c r="D136" s="21"/>
      <c r="E136" s="21"/>
      <c r="F136" s="22"/>
      <c r="G136" s="22"/>
      <c r="H136" s="21"/>
      <c r="I136" s="21"/>
      <c r="J136" s="21"/>
      <c r="K136" s="21"/>
      <c r="L136" s="21"/>
      <c r="M136" s="21"/>
      <c r="N136" s="21"/>
    </row>
    <row r="137" spans="1:14" x14ac:dyDescent="0.25">
      <c r="A137" s="18"/>
      <c r="B137" s="19"/>
      <c r="C137" s="20"/>
      <c r="D137" s="21"/>
      <c r="E137" s="21"/>
      <c r="F137" s="22"/>
      <c r="G137" s="22"/>
      <c r="H137" s="21"/>
      <c r="I137" s="21"/>
      <c r="J137" s="21"/>
      <c r="K137" s="21"/>
      <c r="L137" s="21"/>
      <c r="M137" s="21"/>
      <c r="N137" s="21"/>
    </row>
    <row r="138" spans="1:14" x14ac:dyDescent="0.25">
      <c r="A138" s="18"/>
      <c r="B138" s="19"/>
      <c r="C138" s="20"/>
      <c r="D138" s="21"/>
      <c r="E138" s="21"/>
      <c r="F138" s="22"/>
      <c r="G138" s="22"/>
      <c r="H138" s="21"/>
      <c r="I138" s="21"/>
      <c r="J138" s="21"/>
      <c r="K138" s="21"/>
      <c r="L138" s="21"/>
      <c r="M138" s="21"/>
      <c r="N138" s="21"/>
    </row>
    <row r="139" spans="1:14" x14ac:dyDescent="0.25">
      <c r="A139" s="18"/>
      <c r="B139" s="19"/>
      <c r="C139" s="20"/>
      <c r="D139" s="21"/>
      <c r="E139" s="21"/>
      <c r="F139" s="22"/>
      <c r="G139" s="22"/>
      <c r="H139" s="21"/>
      <c r="I139" s="21"/>
      <c r="J139" s="21"/>
      <c r="K139" s="21"/>
      <c r="L139" s="21"/>
      <c r="M139" s="21"/>
      <c r="N139" s="21"/>
    </row>
    <row r="140" spans="1:14" x14ac:dyDescent="0.25">
      <c r="A140" s="18"/>
      <c r="B140" s="19"/>
      <c r="C140" s="20"/>
      <c r="D140" s="21"/>
      <c r="E140" s="21"/>
      <c r="F140" s="22"/>
      <c r="G140" s="22"/>
      <c r="H140" s="21"/>
      <c r="I140" s="21"/>
      <c r="J140" s="21"/>
      <c r="K140" s="21"/>
      <c r="L140" s="21"/>
      <c r="M140" s="21"/>
      <c r="N140" s="21"/>
    </row>
    <row r="141" spans="1:14" x14ac:dyDescent="0.25">
      <c r="A141" s="18"/>
      <c r="B141" s="19"/>
      <c r="C141" s="20"/>
      <c r="D141" s="21"/>
      <c r="E141" s="21"/>
      <c r="F141" s="22"/>
      <c r="G141" s="22"/>
      <c r="H141" s="21"/>
      <c r="I141" s="21"/>
      <c r="J141" s="21"/>
      <c r="K141" s="21"/>
      <c r="L141" s="21"/>
      <c r="M141" s="21"/>
      <c r="N141" s="21"/>
    </row>
    <row r="142" spans="1:14" x14ac:dyDescent="0.25">
      <c r="A142" s="18"/>
      <c r="B142" s="19"/>
      <c r="C142" s="20"/>
      <c r="D142" s="21"/>
      <c r="E142" s="21"/>
      <c r="F142" s="22"/>
      <c r="G142" s="22"/>
      <c r="H142" s="21"/>
      <c r="I142" s="21"/>
      <c r="J142" s="21"/>
      <c r="K142" s="21"/>
      <c r="L142" s="21"/>
      <c r="M142" s="21"/>
      <c r="N142" s="21"/>
    </row>
    <row r="143" spans="1:14" x14ac:dyDescent="0.25">
      <c r="A143" s="18"/>
      <c r="B143" s="19"/>
      <c r="C143" s="20"/>
      <c r="D143" s="21"/>
      <c r="E143" s="21"/>
      <c r="F143" s="22"/>
      <c r="G143" s="22"/>
      <c r="H143" s="21"/>
      <c r="I143" s="21"/>
      <c r="J143" s="21"/>
      <c r="K143" s="21"/>
      <c r="L143" s="21"/>
      <c r="M143" s="21"/>
      <c r="N143" s="21"/>
    </row>
    <row r="144" spans="1:14" x14ac:dyDescent="0.25">
      <c r="A144" s="18"/>
      <c r="B144" s="19"/>
      <c r="C144" s="20"/>
      <c r="D144" s="21"/>
      <c r="E144" s="21"/>
      <c r="F144" s="22"/>
      <c r="G144" s="22"/>
      <c r="H144" s="21"/>
      <c r="I144" s="21"/>
      <c r="J144" s="21"/>
      <c r="K144" s="21"/>
      <c r="L144" s="21"/>
      <c r="M144" s="21"/>
      <c r="N144" s="21"/>
    </row>
    <row r="145" spans="1:14" x14ac:dyDescent="0.25">
      <c r="A145" s="18"/>
      <c r="B145" s="19"/>
      <c r="C145" s="20"/>
      <c r="D145" s="21"/>
      <c r="E145" s="21"/>
      <c r="F145" s="22"/>
      <c r="G145" s="22"/>
      <c r="H145" s="21"/>
      <c r="I145" s="21"/>
      <c r="J145" s="21"/>
      <c r="K145" s="21"/>
      <c r="L145" s="21"/>
      <c r="M145" s="21"/>
      <c r="N145" s="21"/>
    </row>
    <row r="146" spans="1:14" x14ac:dyDescent="0.25">
      <c r="A146" s="18"/>
      <c r="B146" s="19"/>
      <c r="C146" s="20"/>
      <c r="D146" s="21"/>
      <c r="E146" s="21"/>
      <c r="F146" s="22"/>
      <c r="G146" s="22"/>
      <c r="H146" s="21"/>
      <c r="I146" s="21"/>
      <c r="J146" s="21"/>
      <c r="K146" s="21"/>
      <c r="L146" s="21"/>
      <c r="M146" s="21"/>
      <c r="N146" s="21"/>
    </row>
    <row r="147" spans="1:14" x14ac:dyDescent="0.25">
      <c r="A147" s="18"/>
      <c r="B147" s="19"/>
      <c r="C147" s="20"/>
      <c r="D147" s="21"/>
      <c r="E147" s="21"/>
      <c r="F147" s="22"/>
      <c r="G147" s="22"/>
      <c r="H147" s="21"/>
      <c r="I147" s="21"/>
      <c r="J147" s="21"/>
      <c r="K147" s="21"/>
      <c r="L147" s="21"/>
      <c r="M147" s="21"/>
      <c r="N147" s="21"/>
    </row>
    <row r="148" spans="1:14" x14ac:dyDescent="0.25">
      <c r="A148" s="18"/>
      <c r="B148" s="19"/>
      <c r="C148" s="20"/>
      <c r="D148" s="21"/>
      <c r="E148" s="21"/>
      <c r="F148" s="22"/>
      <c r="G148" s="22"/>
      <c r="H148" s="21"/>
      <c r="I148" s="21"/>
      <c r="J148" s="21"/>
      <c r="K148" s="21"/>
      <c r="L148" s="21"/>
      <c r="M148" s="21"/>
      <c r="N148" s="21"/>
    </row>
    <row r="149" spans="1:14" x14ac:dyDescent="0.25">
      <c r="A149" s="18"/>
      <c r="B149" s="19"/>
      <c r="C149" s="20"/>
      <c r="D149" s="21"/>
      <c r="E149" s="21"/>
      <c r="F149" s="22"/>
      <c r="G149" s="22"/>
      <c r="H149" s="21"/>
      <c r="I149" s="21"/>
      <c r="J149" s="21"/>
      <c r="K149" s="21"/>
      <c r="L149" s="21"/>
      <c r="M149" s="21"/>
      <c r="N149" s="21"/>
    </row>
    <row r="150" spans="1:14" x14ac:dyDescent="0.25">
      <c r="A150" s="18"/>
      <c r="B150" s="19"/>
      <c r="C150" s="20"/>
      <c r="D150" s="21"/>
      <c r="E150" s="21"/>
      <c r="F150" s="22"/>
      <c r="G150" s="22"/>
      <c r="H150" s="21"/>
      <c r="I150" s="21"/>
      <c r="J150" s="21"/>
      <c r="K150" s="21"/>
      <c r="L150" s="21"/>
      <c r="M150" s="21"/>
      <c r="N150" s="21"/>
    </row>
    <row r="151" spans="1:14" x14ac:dyDescent="0.25">
      <c r="A151" s="18"/>
      <c r="B151" s="19"/>
      <c r="C151" s="20"/>
      <c r="D151" s="21"/>
      <c r="E151" s="21"/>
      <c r="F151" s="22"/>
      <c r="G151" s="22"/>
      <c r="H151" s="21"/>
      <c r="I151" s="21"/>
      <c r="J151" s="21"/>
      <c r="K151" s="21"/>
      <c r="L151" s="21"/>
      <c r="M151" s="21"/>
      <c r="N151" s="21"/>
    </row>
    <row r="152" spans="1:14" x14ac:dyDescent="0.25">
      <c r="A152" s="18"/>
      <c r="B152" s="19"/>
      <c r="C152" s="20"/>
      <c r="D152" s="21"/>
      <c r="E152" s="21"/>
      <c r="F152" s="22"/>
      <c r="G152" s="22"/>
      <c r="H152" s="21"/>
      <c r="I152" s="21"/>
      <c r="J152" s="21"/>
      <c r="K152" s="21"/>
      <c r="L152" s="21"/>
      <c r="M152" s="21"/>
      <c r="N152" s="21"/>
    </row>
    <row r="153" spans="1:14" x14ac:dyDescent="0.25">
      <c r="A153" s="18"/>
      <c r="B153" s="19"/>
      <c r="C153" s="20"/>
      <c r="D153" s="21"/>
      <c r="E153" s="21"/>
      <c r="F153" s="22"/>
      <c r="G153" s="22"/>
      <c r="H153" s="21"/>
      <c r="I153" s="21"/>
      <c r="J153" s="21"/>
      <c r="K153" s="21"/>
      <c r="L153" s="21"/>
      <c r="M153" s="21"/>
      <c r="N153" s="21"/>
    </row>
    <row r="154" spans="1:14" x14ac:dyDescent="0.25">
      <c r="A154" s="18"/>
      <c r="B154" s="19"/>
      <c r="C154" s="20"/>
      <c r="D154" s="21"/>
      <c r="E154" s="21"/>
      <c r="F154" s="22"/>
      <c r="G154" s="22"/>
      <c r="H154" s="21"/>
      <c r="I154" s="21"/>
      <c r="J154" s="21"/>
      <c r="K154" s="21"/>
      <c r="L154" s="21"/>
      <c r="M154" s="21"/>
      <c r="N154" s="21"/>
    </row>
    <row r="155" spans="1:14" x14ac:dyDescent="0.25">
      <c r="A155" s="18"/>
      <c r="B155" s="19"/>
      <c r="C155" s="20"/>
      <c r="D155" s="21"/>
      <c r="E155" s="21"/>
      <c r="F155" s="22"/>
      <c r="G155" s="22"/>
      <c r="H155" s="21"/>
      <c r="I155" s="21"/>
      <c r="J155" s="21"/>
      <c r="K155" s="21"/>
      <c r="L155" s="21"/>
      <c r="M155" s="21"/>
      <c r="N155" s="21"/>
    </row>
    <row r="156" spans="1:14" x14ac:dyDescent="0.25">
      <c r="A156" s="18"/>
      <c r="B156" s="19"/>
      <c r="C156" s="20"/>
      <c r="D156" s="21"/>
      <c r="E156" s="21"/>
      <c r="F156" s="22"/>
      <c r="G156" s="22"/>
      <c r="H156" s="21"/>
      <c r="I156" s="21"/>
      <c r="J156" s="21"/>
      <c r="K156" s="21"/>
      <c r="L156" s="21"/>
      <c r="M156" s="21"/>
      <c r="N156" s="21"/>
    </row>
    <row r="157" spans="1:14" x14ac:dyDescent="0.25">
      <c r="A157" s="18"/>
      <c r="B157" s="19"/>
      <c r="C157" s="20"/>
      <c r="D157" s="21"/>
      <c r="E157" s="21"/>
      <c r="F157" s="22"/>
      <c r="G157" s="22"/>
      <c r="H157" s="21"/>
      <c r="I157" s="21"/>
      <c r="J157" s="21"/>
      <c r="K157" s="21"/>
      <c r="L157" s="21"/>
      <c r="M157" s="21"/>
      <c r="N157" s="21"/>
    </row>
    <row r="158" spans="1:14" x14ac:dyDescent="0.25">
      <c r="A158" s="18"/>
      <c r="B158" s="19"/>
      <c r="C158" s="20"/>
      <c r="D158" s="21"/>
      <c r="E158" s="21"/>
      <c r="F158" s="22"/>
      <c r="G158" s="22"/>
      <c r="H158" s="21"/>
      <c r="I158" s="21"/>
      <c r="J158" s="21"/>
      <c r="K158" s="21"/>
      <c r="L158" s="21"/>
      <c r="M158" s="21"/>
      <c r="N158" s="21"/>
    </row>
    <row r="159" spans="1:14" x14ac:dyDescent="0.25">
      <c r="A159" s="18"/>
      <c r="B159" s="19"/>
      <c r="C159" s="20"/>
      <c r="D159" s="21"/>
      <c r="E159" s="21"/>
      <c r="F159" s="22"/>
      <c r="G159" s="22"/>
      <c r="H159" s="21"/>
      <c r="I159" s="21"/>
      <c r="J159" s="21"/>
      <c r="K159" s="21"/>
      <c r="L159" s="21"/>
      <c r="M159" s="21"/>
      <c r="N159" s="21"/>
    </row>
    <row r="160" spans="1:14" x14ac:dyDescent="0.25">
      <c r="A160" s="18"/>
      <c r="B160" s="19"/>
      <c r="C160" s="20"/>
      <c r="D160" s="21"/>
      <c r="E160" s="21"/>
      <c r="F160" s="22"/>
      <c r="G160" s="22"/>
      <c r="H160" s="21"/>
      <c r="I160" s="21"/>
      <c r="J160" s="21"/>
      <c r="K160" s="21"/>
      <c r="L160" s="21"/>
      <c r="M160" s="21"/>
      <c r="N160" s="21"/>
    </row>
    <row r="161" spans="1:14" x14ac:dyDescent="0.25">
      <c r="A161" s="18"/>
      <c r="B161" s="19"/>
      <c r="C161" s="20"/>
      <c r="D161" s="21"/>
      <c r="E161" s="21"/>
      <c r="F161" s="22"/>
      <c r="G161" s="22"/>
      <c r="H161" s="21"/>
      <c r="I161" s="21"/>
      <c r="J161" s="21"/>
      <c r="K161" s="21"/>
      <c r="L161" s="21"/>
      <c r="M161" s="21"/>
      <c r="N161" s="21"/>
    </row>
    <row r="162" spans="1:14" x14ac:dyDescent="0.25">
      <c r="A162" s="18"/>
      <c r="B162" s="19"/>
      <c r="C162" s="20"/>
      <c r="D162" s="21"/>
      <c r="E162" s="21"/>
      <c r="F162" s="22"/>
      <c r="G162" s="22"/>
      <c r="H162" s="21"/>
      <c r="I162" s="21"/>
      <c r="J162" s="21"/>
      <c r="K162" s="21"/>
      <c r="L162" s="21"/>
      <c r="M162" s="21"/>
      <c r="N162" s="21"/>
    </row>
    <row r="163" spans="1:14" x14ac:dyDescent="0.25">
      <c r="A163" s="18"/>
      <c r="B163" s="19"/>
      <c r="C163" s="20"/>
      <c r="D163" s="21"/>
      <c r="E163" s="21"/>
      <c r="F163" s="22"/>
      <c r="G163" s="22"/>
      <c r="H163" s="21"/>
      <c r="I163" s="21"/>
      <c r="J163" s="21"/>
      <c r="K163" s="21"/>
      <c r="L163" s="21"/>
      <c r="M163" s="21"/>
      <c r="N163" s="21"/>
    </row>
    <row r="164" spans="1:14" x14ac:dyDescent="0.25">
      <c r="A164" s="18"/>
      <c r="B164" s="19"/>
      <c r="C164" s="20"/>
      <c r="D164" s="21"/>
      <c r="E164" s="21"/>
      <c r="F164" s="22"/>
      <c r="G164" s="22"/>
      <c r="H164" s="21"/>
      <c r="I164" s="21"/>
      <c r="J164" s="21"/>
      <c r="K164" s="21"/>
      <c r="L164" s="21"/>
      <c r="M164" s="21"/>
      <c r="N164" s="21"/>
    </row>
    <row r="165" spans="1:14" x14ac:dyDescent="0.25">
      <c r="A165" s="18"/>
      <c r="B165" s="19"/>
      <c r="C165" s="20"/>
      <c r="D165" s="21"/>
      <c r="E165" s="21"/>
      <c r="F165" s="22"/>
      <c r="G165" s="22"/>
      <c r="H165" s="21"/>
      <c r="I165" s="21"/>
      <c r="J165" s="21"/>
      <c r="K165" s="21"/>
      <c r="L165" s="21"/>
      <c r="M165" s="21"/>
      <c r="N165" s="21"/>
    </row>
    <row r="166" spans="1:14" x14ac:dyDescent="0.25">
      <c r="A166" s="18"/>
      <c r="B166" s="19"/>
      <c r="C166" s="20"/>
      <c r="D166" s="21"/>
      <c r="E166" s="21"/>
      <c r="F166" s="22"/>
      <c r="G166" s="22"/>
      <c r="H166" s="21"/>
      <c r="I166" s="21"/>
      <c r="J166" s="21"/>
      <c r="K166" s="21"/>
      <c r="L166" s="21"/>
      <c r="M166" s="21"/>
      <c r="N166" s="21"/>
    </row>
    <row r="167" spans="1:14" x14ac:dyDescent="0.25">
      <c r="A167" s="18"/>
      <c r="B167" s="19"/>
      <c r="C167" s="20"/>
      <c r="D167" s="21"/>
      <c r="E167" s="21"/>
      <c r="F167" s="22"/>
      <c r="G167" s="22"/>
      <c r="H167" s="21"/>
      <c r="I167" s="21"/>
      <c r="J167" s="21"/>
      <c r="K167" s="21"/>
      <c r="L167" s="21"/>
      <c r="M167" s="21"/>
      <c r="N167" s="21"/>
    </row>
    <row r="168" spans="1:14" x14ac:dyDescent="0.25">
      <c r="A168" s="18"/>
      <c r="B168" s="19"/>
      <c r="C168" s="20"/>
      <c r="D168" s="21"/>
      <c r="E168" s="21"/>
      <c r="F168" s="22"/>
      <c r="G168" s="22"/>
      <c r="H168" s="21"/>
      <c r="I168" s="21"/>
      <c r="J168" s="21"/>
      <c r="K168" s="21"/>
      <c r="L168" s="21"/>
      <c r="M168" s="21"/>
      <c r="N168" s="21"/>
    </row>
    <row r="169" spans="1:14" x14ac:dyDescent="0.25">
      <c r="A169" s="18"/>
      <c r="B169" s="19"/>
      <c r="C169" s="20"/>
      <c r="D169" s="21"/>
      <c r="E169" s="21"/>
      <c r="F169" s="22"/>
      <c r="G169" s="22"/>
      <c r="H169" s="21"/>
      <c r="I169" s="21"/>
      <c r="J169" s="21"/>
      <c r="K169" s="21"/>
      <c r="L169" s="21"/>
      <c r="M169" s="21"/>
      <c r="N169" s="21"/>
    </row>
    <row r="170" spans="1:14" x14ac:dyDescent="0.25">
      <c r="A170" s="18"/>
      <c r="B170" s="19"/>
      <c r="C170" s="20"/>
      <c r="D170" s="21"/>
      <c r="E170" s="21"/>
      <c r="F170" s="22"/>
      <c r="G170" s="22"/>
      <c r="H170" s="21"/>
      <c r="I170" s="21"/>
      <c r="J170" s="21"/>
      <c r="K170" s="21"/>
      <c r="L170" s="21"/>
      <c r="M170" s="21"/>
      <c r="N170" s="21"/>
    </row>
    <row r="171" spans="1:14" x14ac:dyDescent="0.25">
      <c r="A171" s="18"/>
      <c r="B171" s="19"/>
      <c r="C171" s="20"/>
      <c r="D171" s="21"/>
      <c r="E171" s="21"/>
      <c r="F171" s="22"/>
      <c r="G171" s="22"/>
      <c r="H171" s="21"/>
      <c r="I171" s="21"/>
      <c r="J171" s="21"/>
      <c r="K171" s="21"/>
      <c r="L171" s="21"/>
      <c r="M171" s="21"/>
      <c r="N171" s="21"/>
    </row>
  </sheetData>
  <sheetProtection sort="0" autoFilter="0" pivotTables="0"/>
  <pageMargins left="0.17" right="0.17" top="0.75" bottom="0.75" header="0.3" footer="0.3"/>
  <pageSetup paperSize="9" scale="55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F66F-E14E-4C63-9DA1-30C23667A439}">
  <sheetPr>
    <tabColor theme="5" tint="-0.249977111117893"/>
  </sheetPr>
  <dimension ref="A1:J16"/>
  <sheetViews>
    <sheetView showGridLines="0" topLeftCell="A4" workbookViewId="0">
      <selection activeCell="E16" sqref="E16"/>
    </sheetView>
  </sheetViews>
  <sheetFormatPr defaultRowHeight="15" x14ac:dyDescent="0.25"/>
  <cols>
    <col min="1" max="1" width="9.28515625" customWidth="1"/>
    <col min="2" max="2" width="12.85546875" style="14" customWidth="1"/>
    <col min="3" max="3" width="19" customWidth="1"/>
    <col min="4" max="4" width="12.5703125" customWidth="1"/>
    <col min="5" max="5" width="22.7109375" customWidth="1"/>
    <col min="6" max="6" width="27.28515625" customWidth="1"/>
    <col min="7" max="7" width="20.42578125" customWidth="1"/>
    <col min="8" max="8" width="17.7109375" customWidth="1"/>
    <col min="9" max="9" width="27" customWidth="1"/>
    <col min="10" max="10" width="33.42578125" customWidth="1"/>
  </cols>
  <sheetData>
    <row r="1" spans="1:10" ht="15.75" x14ac:dyDescent="0.25">
      <c r="A1" s="38" t="s">
        <v>599</v>
      </c>
      <c r="B1" s="100" t="s">
        <v>217</v>
      </c>
      <c r="C1" s="38" t="s">
        <v>600</v>
      </c>
      <c r="D1" s="38" t="s">
        <v>601</v>
      </c>
      <c r="E1" s="38" t="s">
        <v>221</v>
      </c>
      <c r="F1" s="38" t="s">
        <v>602</v>
      </c>
      <c r="G1" s="38" t="s">
        <v>603</v>
      </c>
      <c r="H1" s="38" t="s">
        <v>604</v>
      </c>
      <c r="I1" s="38" t="s">
        <v>224</v>
      </c>
      <c r="J1" s="38" t="s">
        <v>605</v>
      </c>
    </row>
    <row r="2" spans="1:10" ht="45" x14ac:dyDescent="0.25">
      <c r="A2" s="3" t="s">
        <v>606</v>
      </c>
      <c r="B2" s="99">
        <v>45664</v>
      </c>
      <c r="C2" s="3" t="s">
        <v>607</v>
      </c>
      <c r="D2" s="101" t="s">
        <v>608</v>
      </c>
      <c r="E2" s="3" t="s">
        <v>609</v>
      </c>
      <c r="F2" s="3" t="s">
        <v>610</v>
      </c>
      <c r="G2" s="3" t="s">
        <v>611</v>
      </c>
      <c r="H2" s="3" t="s">
        <v>612</v>
      </c>
      <c r="I2" s="3" t="s">
        <v>613</v>
      </c>
      <c r="J2" s="3" t="s">
        <v>613</v>
      </c>
    </row>
    <row r="3" spans="1:10" ht="45" x14ac:dyDescent="0.25">
      <c r="A3" s="3" t="s">
        <v>614</v>
      </c>
      <c r="B3" s="99">
        <v>46012</v>
      </c>
      <c r="C3" s="3" t="s">
        <v>615</v>
      </c>
      <c r="D3" s="3" t="s">
        <v>616</v>
      </c>
      <c r="E3" s="3" t="s">
        <v>617</v>
      </c>
      <c r="F3" s="3" t="s">
        <v>618</v>
      </c>
      <c r="G3" s="3" t="s">
        <v>619</v>
      </c>
      <c r="H3" s="3" t="s">
        <v>616</v>
      </c>
      <c r="I3" s="3" t="s">
        <v>620</v>
      </c>
      <c r="J3" s="3" t="s">
        <v>621</v>
      </c>
    </row>
    <row r="4" spans="1:10" ht="45" x14ac:dyDescent="0.25">
      <c r="A4" s="3" t="s">
        <v>622</v>
      </c>
      <c r="B4" s="99">
        <v>45737</v>
      </c>
      <c r="C4" s="3" t="s">
        <v>607</v>
      </c>
      <c r="D4" s="3" t="s">
        <v>623</v>
      </c>
      <c r="E4" s="3" t="s">
        <v>624</v>
      </c>
      <c r="F4" s="3" t="s">
        <v>625</v>
      </c>
      <c r="G4" s="3" t="s">
        <v>626</v>
      </c>
      <c r="H4" s="3" t="s">
        <v>627</v>
      </c>
      <c r="I4" s="3" t="s">
        <v>628</v>
      </c>
      <c r="J4" s="3" t="s">
        <v>629</v>
      </c>
    </row>
    <row r="5" spans="1:10" ht="30" x14ac:dyDescent="0.25">
      <c r="A5" s="3" t="s">
        <v>630</v>
      </c>
      <c r="B5" s="99">
        <v>45711</v>
      </c>
      <c r="C5" s="3" t="s">
        <v>631</v>
      </c>
      <c r="D5" s="3" t="s">
        <v>632</v>
      </c>
      <c r="E5" s="3" t="s">
        <v>633</v>
      </c>
      <c r="F5" s="3" t="s">
        <v>634</v>
      </c>
      <c r="G5" s="3" t="s">
        <v>635</v>
      </c>
      <c r="H5" s="3" t="s">
        <v>636</v>
      </c>
      <c r="I5" s="3" t="s">
        <v>637</v>
      </c>
      <c r="J5" s="3" t="s">
        <v>638</v>
      </c>
    </row>
    <row r="6" spans="1:10" ht="30" x14ac:dyDescent="0.25">
      <c r="A6" s="3" t="s">
        <v>639</v>
      </c>
      <c r="B6" s="99">
        <v>45800</v>
      </c>
      <c r="C6" s="3" t="s">
        <v>513</v>
      </c>
      <c r="D6" s="3" t="s">
        <v>640</v>
      </c>
      <c r="E6" s="3" t="s">
        <v>641</v>
      </c>
      <c r="F6" s="3" t="s">
        <v>642</v>
      </c>
      <c r="G6" s="3" t="s">
        <v>643</v>
      </c>
      <c r="H6" s="3" t="s">
        <v>644</v>
      </c>
      <c r="I6" s="3" t="s">
        <v>645</v>
      </c>
      <c r="J6" s="3" t="s">
        <v>646</v>
      </c>
    </row>
    <row r="7" spans="1:10" ht="45" x14ac:dyDescent="0.25">
      <c r="A7" s="3" t="s">
        <v>647</v>
      </c>
      <c r="B7" s="99">
        <v>45744</v>
      </c>
      <c r="C7" s="3" t="s">
        <v>513</v>
      </c>
      <c r="D7" s="3" t="s">
        <v>648</v>
      </c>
      <c r="E7" s="3" t="s">
        <v>649</v>
      </c>
      <c r="F7" s="3" t="s">
        <v>650</v>
      </c>
      <c r="G7" s="3" t="s">
        <v>651</v>
      </c>
      <c r="H7" s="3"/>
      <c r="I7" s="3" t="s">
        <v>652</v>
      </c>
      <c r="J7" s="3" t="s">
        <v>653</v>
      </c>
    </row>
    <row r="8" spans="1:10" ht="45" x14ac:dyDescent="0.25">
      <c r="A8" s="3" t="s">
        <v>654</v>
      </c>
      <c r="B8" s="99">
        <v>45698</v>
      </c>
      <c r="C8" s="3" t="s">
        <v>655</v>
      </c>
      <c r="D8" s="3" t="s">
        <v>656</v>
      </c>
      <c r="E8" s="3" t="s">
        <v>657</v>
      </c>
      <c r="F8" s="3" t="s">
        <v>658</v>
      </c>
      <c r="G8" s="3" t="s">
        <v>659</v>
      </c>
      <c r="H8" s="3" t="s">
        <v>660</v>
      </c>
      <c r="I8" s="3" t="s">
        <v>661</v>
      </c>
      <c r="J8" s="3" t="s">
        <v>662</v>
      </c>
    </row>
    <row r="9" spans="1:10" ht="54.75" customHeight="1" x14ac:dyDescent="0.25">
      <c r="A9" s="3" t="s">
        <v>663</v>
      </c>
      <c r="B9" s="99">
        <v>45747</v>
      </c>
      <c r="C9" s="3" t="s">
        <v>664</v>
      </c>
      <c r="D9" s="3" t="s">
        <v>665</v>
      </c>
      <c r="E9" s="3" t="s">
        <v>657</v>
      </c>
      <c r="F9" s="3" t="s">
        <v>666</v>
      </c>
      <c r="G9" s="3" t="s">
        <v>667</v>
      </c>
      <c r="H9" s="3" t="s">
        <v>668</v>
      </c>
      <c r="I9" s="3" t="s">
        <v>669</v>
      </c>
      <c r="J9" s="3" t="s">
        <v>670</v>
      </c>
    </row>
    <row r="10" spans="1:10" ht="60" x14ac:dyDescent="0.25">
      <c r="A10" s="3" t="s">
        <v>671</v>
      </c>
      <c r="B10" s="99">
        <v>45800</v>
      </c>
      <c r="C10" s="3" t="s">
        <v>655</v>
      </c>
      <c r="D10" s="3" t="s">
        <v>665</v>
      </c>
      <c r="E10" s="3" t="s">
        <v>657</v>
      </c>
      <c r="F10" s="3" t="s">
        <v>672</v>
      </c>
      <c r="G10" s="3" t="s">
        <v>673</v>
      </c>
      <c r="H10" s="3" t="s">
        <v>674</v>
      </c>
      <c r="I10" s="3" t="s">
        <v>675</v>
      </c>
      <c r="J10" s="3" t="s">
        <v>676</v>
      </c>
    </row>
    <row r="11" spans="1:10" ht="120" x14ac:dyDescent="0.25">
      <c r="A11" s="3" t="s">
        <v>677</v>
      </c>
      <c r="B11" s="99">
        <v>45892</v>
      </c>
      <c r="C11" s="3" t="s">
        <v>678</v>
      </c>
      <c r="D11" s="3" t="s">
        <v>679</v>
      </c>
      <c r="E11" s="3" t="s">
        <v>680</v>
      </c>
      <c r="F11" s="3" t="s">
        <v>681</v>
      </c>
      <c r="G11" s="3" t="s">
        <v>682</v>
      </c>
      <c r="H11" s="3" t="s">
        <v>683</v>
      </c>
      <c r="I11" s="3" t="s">
        <v>684</v>
      </c>
      <c r="J11" s="3" t="s">
        <v>685</v>
      </c>
    </row>
    <row r="12" spans="1:10" x14ac:dyDescent="0.25">
      <c r="A12" s="33"/>
      <c r="B12" s="40"/>
      <c r="C12" s="33"/>
      <c r="D12" s="33"/>
      <c r="E12" s="33"/>
      <c r="F12" s="33"/>
      <c r="G12" s="33"/>
      <c r="H12" s="33"/>
      <c r="I12" s="33"/>
      <c r="J12" s="33"/>
    </row>
    <row r="13" spans="1:10" x14ac:dyDescent="0.25">
      <c r="A13" s="39"/>
      <c r="B13" s="99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9"/>
      <c r="B14" s="99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3"/>
      <c r="B15" s="40"/>
      <c r="C15" s="33"/>
      <c r="D15" s="33"/>
      <c r="E15" s="33"/>
      <c r="F15" s="33"/>
      <c r="G15" s="33"/>
      <c r="H15" s="33"/>
      <c r="I15" s="33"/>
      <c r="J15" s="33"/>
    </row>
    <row r="16" spans="1:10" x14ac:dyDescent="0.25">
      <c r="A16" s="39"/>
      <c r="B16" s="99"/>
      <c r="C16" s="3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5611-A1BF-4C67-8A32-806DD3E0A9A8}">
  <sheetPr>
    <tabColor rgb="FFEE0000"/>
  </sheetPr>
  <dimension ref="A1:G8"/>
  <sheetViews>
    <sheetView showGridLines="0" topLeftCell="A5" zoomScale="175" zoomScaleNormal="175" workbookViewId="0">
      <selection activeCell="D11" sqref="D11"/>
    </sheetView>
  </sheetViews>
  <sheetFormatPr defaultRowHeight="15" x14ac:dyDescent="0.25"/>
  <cols>
    <col min="1" max="2" width="11.85546875" customWidth="1"/>
    <col min="3" max="3" width="35.28515625" customWidth="1"/>
    <col min="4" max="4" width="28.7109375" customWidth="1"/>
    <col min="5" max="5" width="39.7109375" customWidth="1"/>
    <col min="6" max="6" width="37.140625" style="13" customWidth="1"/>
    <col min="7" max="7" width="41.85546875" customWidth="1"/>
    <col min="8" max="8" width="17.85546875" customWidth="1"/>
  </cols>
  <sheetData>
    <row r="1" spans="1:7" ht="24" x14ac:dyDescent="0.4">
      <c r="A1" s="120" t="s">
        <v>686</v>
      </c>
      <c r="B1" s="120"/>
      <c r="C1" s="120"/>
      <c r="D1" s="120"/>
      <c r="E1" s="120"/>
      <c r="F1" s="120"/>
      <c r="G1" s="120"/>
    </row>
    <row r="2" spans="1:7" ht="39" customHeight="1" x14ac:dyDescent="0.25">
      <c r="A2" s="121" t="s">
        <v>687</v>
      </c>
      <c r="B2" s="122"/>
      <c r="C2" s="122"/>
      <c r="D2" s="122"/>
      <c r="E2" s="122"/>
      <c r="F2" s="122"/>
      <c r="G2" s="122"/>
    </row>
    <row r="3" spans="1:7" x14ac:dyDescent="0.25">
      <c r="A3" s="7" t="s">
        <v>20</v>
      </c>
      <c r="B3" s="7" t="s">
        <v>688</v>
      </c>
      <c r="C3" s="7" t="s">
        <v>221</v>
      </c>
      <c r="D3" s="7" t="s">
        <v>689</v>
      </c>
      <c r="E3" s="7" t="s">
        <v>602</v>
      </c>
      <c r="F3" s="8" t="s">
        <v>82</v>
      </c>
      <c r="G3" s="7" t="s">
        <v>84</v>
      </c>
    </row>
    <row r="4" spans="1:7" ht="42.75" x14ac:dyDescent="0.25">
      <c r="A4" s="9">
        <v>1</v>
      </c>
      <c r="B4" s="10" t="s">
        <v>96</v>
      </c>
      <c r="C4" s="10" t="s">
        <v>164</v>
      </c>
      <c r="D4" s="10" t="s">
        <v>690</v>
      </c>
      <c r="E4" s="11" t="s">
        <v>165</v>
      </c>
      <c r="F4" s="11" t="s">
        <v>159</v>
      </c>
      <c r="G4" s="10"/>
    </row>
    <row r="5" spans="1:7" ht="46.5" customHeight="1" x14ac:dyDescent="0.25">
      <c r="A5" s="9">
        <v>2</v>
      </c>
      <c r="B5" s="10" t="s">
        <v>89</v>
      </c>
      <c r="C5" s="10" t="s">
        <v>156</v>
      </c>
      <c r="D5" s="10" t="s">
        <v>690</v>
      </c>
      <c r="E5" s="11" t="s">
        <v>157</v>
      </c>
      <c r="F5" s="11" t="s">
        <v>159</v>
      </c>
      <c r="G5" s="10"/>
    </row>
    <row r="6" spans="1:7" ht="71.25" x14ac:dyDescent="0.25">
      <c r="A6" s="9">
        <v>3</v>
      </c>
      <c r="B6" s="10" t="s">
        <v>96</v>
      </c>
      <c r="C6" s="10" t="s">
        <v>116</v>
      </c>
      <c r="D6" s="10" t="s">
        <v>691</v>
      </c>
      <c r="E6" s="11" t="s">
        <v>161</v>
      </c>
      <c r="F6" s="11" t="s">
        <v>162</v>
      </c>
      <c r="G6" s="10"/>
    </row>
    <row r="7" spans="1:7" ht="85.5" x14ac:dyDescent="0.25">
      <c r="A7" s="9">
        <v>4</v>
      </c>
      <c r="B7" s="10" t="s">
        <v>692</v>
      </c>
      <c r="C7" s="11" t="s">
        <v>167</v>
      </c>
      <c r="D7" s="10" t="s">
        <v>693</v>
      </c>
      <c r="E7" s="11" t="s">
        <v>168</v>
      </c>
      <c r="F7" s="11" t="s">
        <v>169</v>
      </c>
      <c r="G7" s="10"/>
    </row>
    <row r="8" spans="1:7" ht="57" x14ac:dyDescent="0.25">
      <c r="A8" s="9">
        <v>5</v>
      </c>
      <c r="B8" s="10" t="s">
        <v>96</v>
      </c>
      <c r="C8" s="10" t="s">
        <v>171</v>
      </c>
      <c r="D8" s="10" t="s">
        <v>694</v>
      </c>
      <c r="E8" s="12" t="s">
        <v>172</v>
      </c>
      <c r="F8" s="11" t="s">
        <v>173</v>
      </c>
      <c r="G8" s="10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7E2D-C191-4CA8-8428-37A6D46F56B8}">
  <sheetPr>
    <tabColor rgb="FF7030A0"/>
  </sheetPr>
  <dimension ref="A1:H6"/>
  <sheetViews>
    <sheetView showGridLines="0" workbookViewId="0">
      <selection activeCell="A7" sqref="A7"/>
    </sheetView>
  </sheetViews>
  <sheetFormatPr defaultRowHeight="15" x14ac:dyDescent="0.25"/>
  <cols>
    <col min="2" max="2" width="12.5703125" style="14" customWidth="1"/>
    <col min="3" max="3" width="16.140625" customWidth="1"/>
    <col min="4" max="4" width="20.42578125" customWidth="1"/>
    <col min="5" max="5" width="16.140625" customWidth="1"/>
    <col min="6" max="6" width="19.140625" customWidth="1"/>
    <col min="7" max="7" width="14.42578125" customWidth="1"/>
    <col min="8" max="8" width="19" customWidth="1"/>
  </cols>
  <sheetData>
    <row r="1" spans="1:8" ht="42.75" customHeight="1" x14ac:dyDescent="0.25">
      <c r="A1" s="33" t="s">
        <v>695</v>
      </c>
      <c r="B1" s="40" t="s">
        <v>78</v>
      </c>
      <c r="C1" s="33" t="s">
        <v>696</v>
      </c>
      <c r="D1" s="33" t="s">
        <v>697</v>
      </c>
      <c r="E1" s="33" t="s">
        <v>698</v>
      </c>
      <c r="F1" s="33" t="s">
        <v>699</v>
      </c>
      <c r="G1" s="33" t="s">
        <v>84</v>
      </c>
      <c r="H1" s="33" t="s">
        <v>54</v>
      </c>
    </row>
    <row r="2" spans="1:8" x14ac:dyDescent="0.25">
      <c r="A2" s="23">
        <v>1</v>
      </c>
      <c r="B2" s="65">
        <v>45731</v>
      </c>
      <c r="C2" s="23" t="s">
        <v>700</v>
      </c>
      <c r="D2" s="23" t="s">
        <v>701</v>
      </c>
      <c r="E2" s="23" t="s">
        <v>692</v>
      </c>
      <c r="F2" s="23" t="s">
        <v>702</v>
      </c>
      <c r="G2" s="23" t="s">
        <v>703</v>
      </c>
      <c r="H2" s="23" t="s">
        <v>704</v>
      </c>
    </row>
    <row r="3" spans="1:8" x14ac:dyDescent="0.25">
      <c r="A3" s="23">
        <v>2</v>
      </c>
      <c r="B3" s="65">
        <v>45792</v>
      </c>
      <c r="C3" s="23" t="s">
        <v>705</v>
      </c>
      <c r="D3" s="23" t="s">
        <v>283</v>
      </c>
      <c r="E3" s="23" t="s">
        <v>706</v>
      </c>
      <c r="F3" s="23" t="s">
        <v>707</v>
      </c>
      <c r="G3" s="23" t="s">
        <v>703</v>
      </c>
      <c r="H3" s="23"/>
    </row>
    <row r="4" spans="1:8" ht="30" x14ac:dyDescent="0.25">
      <c r="A4" s="23">
        <v>3</v>
      </c>
      <c r="B4" s="65">
        <v>45793</v>
      </c>
      <c r="C4" s="23" t="s">
        <v>6</v>
      </c>
      <c r="D4" s="23" t="s">
        <v>708</v>
      </c>
      <c r="E4" s="23" t="s">
        <v>692</v>
      </c>
      <c r="F4" s="23" t="s">
        <v>709</v>
      </c>
      <c r="G4" s="23" t="s">
        <v>703</v>
      </c>
      <c r="H4" s="23" t="s">
        <v>710</v>
      </c>
    </row>
    <row r="5" spans="1:8" ht="45" x14ac:dyDescent="0.25">
      <c r="A5" s="23">
        <v>4</v>
      </c>
      <c r="B5" s="65">
        <v>45806</v>
      </c>
      <c r="C5" s="23" t="s">
        <v>9</v>
      </c>
      <c r="D5" s="23" t="s">
        <v>283</v>
      </c>
      <c r="E5" s="23" t="s">
        <v>96</v>
      </c>
      <c r="F5" s="23" t="s">
        <v>711</v>
      </c>
      <c r="G5" s="23" t="s">
        <v>703</v>
      </c>
      <c r="H5" s="23" t="s">
        <v>712</v>
      </c>
    </row>
    <row r="6" spans="1:8" x14ac:dyDescent="0.25">
      <c r="A6" s="23">
        <v>5</v>
      </c>
      <c r="B6" s="65">
        <v>45818</v>
      </c>
      <c r="C6" s="23" t="s">
        <v>713</v>
      </c>
      <c r="D6" s="23" t="s">
        <v>714</v>
      </c>
      <c r="E6" s="23" t="s">
        <v>96</v>
      </c>
      <c r="F6" s="23" t="s">
        <v>9</v>
      </c>
      <c r="G6" s="23" t="s">
        <v>703</v>
      </c>
      <c r="H6" s="23" t="s">
        <v>715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B04D-65EE-403C-AC1A-CC2294183970}">
  <dimension ref="A1"/>
  <sheetViews>
    <sheetView workbookViewId="0">
      <selection activeCell="B16" sqref="B16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FE2B-E70E-4FE7-B768-7A72EEFE5E70}">
  <dimension ref="A1:B33"/>
  <sheetViews>
    <sheetView showGridLines="0" workbookViewId="0">
      <selection activeCell="B33" sqref="B33"/>
    </sheetView>
  </sheetViews>
  <sheetFormatPr defaultRowHeight="15" x14ac:dyDescent="0.25"/>
  <cols>
    <col min="2" max="2" width="30.28515625" bestFit="1" customWidth="1"/>
  </cols>
  <sheetData>
    <row r="1" spans="1:2" x14ac:dyDescent="0.25">
      <c r="A1" t="s">
        <v>220</v>
      </c>
      <c r="B1" t="s">
        <v>602</v>
      </c>
    </row>
    <row r="2" spans="1:2" x14ac:dyDescent="0.25">
      <c r="A2" s="9">
        <v>1</v>
      </c>
      <c r="B2" s="7" t="s">
        <v>716</v>
      </c>
    </row>
    <row r="3" spans="1:2" x14ac:dyDescent="0.25">
      <c r="A3" s="9">
        <v>1.1000000000000001</v>
      </c>
      <c r="B3" s="7" t="s">
        <v>717</v>
      </c>
    </row>
    <row r="4" spans="1:2" x14ac:dyDescent="0.25">
      <c r="A4" s="9">
        <v>2</v>
      </c>
      <c r="B4" s="7" t="s">
        <v>718</v>
      </c>
    </row>
    <row r="5" spans="1:2" x14ac:dyDescent="0.25">
      <c r="A5" s="9">
        <v>2.1</v>
      </c>
      <c r="B5" s="7" t="s">
        <v>719</v>
      </c>
    </row>
    <row r="6" spans="1:2" x14ac:dyDescent="0.25">
      <c r="A6" s="9">
        <v>3</v>
      </c>
      <c r="B6" s="7" t="s">
        <v>720</v>
      </c>
    </row>
    <row r="7" spans="1:2" x14ac:dyDescent="0.25">
      <c r="A7" s="9">
        <v>4</v>
      </c>
      <c r="B7" s="7" t="s">
        <v>721</v>
      </c>
    </row>
    <row r="8" spans="1:2" x14ac:dyDescent="0.25">
      <c r="A8" s="9">
        <v>5</v>
      </c>
      <c r="B8" s="7" t="s">
        <v>722</v>
      </c>
    </row>
    <row r="9" spans="1:2" x14ac:dyDescent="0.25">
      <c r="A9" s="9">
        <v>6</v>
      </c>
      <c r="B9" s="7" t="s">
        <v>723</v>
      </c>
    </row>
    <row r="10" spans="1:2" x14ac:dyDescent="0.25">
      <c r="A10" s="9">
        <v>7</v>
      </c>
      <c r="B10" s="7" t="s">
        <v>724</v>
      </c>
    </row>
    <row r="11" spans="1:2" x14ac:dyDescent="0.25">
      <c r="A11" s="9">
        <v>8</v>
      </c>
      <c r="B11" s="7" t="s">
        <v>725</v>
      </c>
    </row>
    <row r="12" spans="1:2" x14ac:dyDescent="0.25">
      <c r="A12" s="9">
        <v>9</v>
      </c>
      <c r="B12" s="7" t="s">
        <v>726</v>
      </c>
    </row>
    <row r="13" spans="1:2" x14ac:dyDescent="0.25">
      <c r="A13" s="9">
        <v>10</v>
      </c>
      <c r="B13" s="7" t="s">
        <v>727</v>
      </c>
    </row>
    <row r="14" spans="1:2" x14ac:dyDescent="0.25">
      <c r="A14" s="9">
        <v>11</v>
      </c>
      <c r="B14" s="7" t="s">
        <v>728</v>
      </c>
    </row>
    <row r="15" spans="1:2" x14ac:dyDescent="0.25">
      <c r="A15" s="9">
        <v>12</v>
      </c>
      <c r="B15" s="7" t="s">
        <v>148</v>
      </c>
    </row>
    <row r="16" spans="1:2" x14ac:dyDescent="0.25">
      <c r="A16" s="9">
        <v>13</v>
      </c>
      <c r="B16" s="7" t="s">
        <v>729</v>
      </c>
    </row>
    <row r="17" spans="1:2" x14ac:dyDescent="0.25">
      <c r="A17" s="9">
        <v>14</v>
      </c>
      <c r="B17" s="7" t="s">
        <v>730</v>
      </c>
    </row>
    <row r="18" spans="1:2" x14ac:dyDescent="0.25">
      <c r="A18" s="9">
        <v>15</v>
      </c>
      <c r="B18" s="7" t="s">
        <v>731</v>
      </c>
    </row>
    <row r="19" spans="1:2" x14ac:dyDescent="0.25">
      <c r="A19" s="9">
        <v>15.1</v>
      </c>
      <c r="B19" s="7" t="s">
        <v>732</v>
      </c>
    </row>
    <row r="20" spans="1:2" x14ac:dyDescent="0.25">
      <c r="A20" s="9">
        <v>16</v>
      </c>
      <c r="B20" s="7" t="s">
        <v>733</v>
      </c>
    </row>
    <row r="21" spans="1:2" x14ac:dyDescent="0.25">
      <c r="A21" s="9">
        <v>17</v>
      </c>
      <c r="B21" s="7" t="s">
        <v>734</v>
      </c>
    </row>
    <row r="22" spans="1:2" x14ac:dyDescent="0.25">
      <c r="A22" s="9">
        <v>17.100000000000001</v>
      </c>
      <c r="B22" s="7" t="s">
        <v>735</v>
      </c>
    </row>
    <row r="23" spans="1:2" x14ac:dyDescent="0.25">
      <c r="A23" s="9">
        <v>17.2</v>
      </c>
      <c r="B23" s="7" t="s">
        <v>736</v>
      </c>
    </row>
    <row r="24" spans="1:2" x14ac:dyDescent="0.25">
      <c r="A24" s="9">
        <v>17.3</v>
      </c>
      <c r="B24" s="7" t="s">
        <v>737</v>
      </c>
    </row>
    <row r="25" spans="1:2" x14ac:dyDescent="0.25">
      <c r="A25" s="9">
        <v>17.399999999999999</v>
      </c>
      <c r="B25" s="7" t="s">
        <v>738</v>
      </c>
    </row>
    <row r="26" spans="1:2" x14ac:dyDescent="0.25">
      <c r="A26" s="9">
        <v>17.5</v>
      </c>
      <c r="B26" s="7" t="s">
        <v>739</v>
      </c>
    </row>
    <row r="27" spans="1:2" x14ac:dyDescent="0.25">
      <c r="A27" s="9">
        <v>0</v>
      </c>
      <c r="B27" s="7" t="s">
        <v>740</v>
      </c>
    </row>
    <row r="28" spans="1:2" x14ac:dyDescent="0.25">
      <c r="A28" s="9">
        <v>0.1</v>
      </c>
      <c r="B28" s="7" t="s">
        <v>741</v>
      </c>
    </row>
    <row r="29" spans="1:2" x14ac:dyDescent="0.25">
      <c r="A29" s="9">
        <v>0.2</v>
      </c>
      <c r="B29" s="7" t="s">
        <v>742</v>
      </c>
    </row>
    <row r="30" spans="1:2" x14ac:dyDescent="0.25">
      <c r="A30" s="9">
        <v>0.3</v>
      </c>
      <c r="B30" s="7" t="s">
        <v>743</v>
      </c>
    </row>
    <row r="31" spans="1:2" x14ac:dyDescent="0.25">
      <c r="A31" s="9" t="s">
        <v>302</v>
      </c>
      <c r="B31" s="7" t="s">
        <v>744</v>
      </c>
    </row>
    <row r="32" spans="1:2" x14ac:dyDescent="0.25">
      <c r="A32" s="92">
        <v>0.4</v>
      </c>
      <c r="B32" s="93" t="s">
        <v>428</v>
      </c>
    </row>
    <row r="33" spans="1:2" x14ac:dyDescent="0.25">
      <c r="A33" s="92">
        <v>0.5</v>
      </c>
      <c r="B33" s="93" t="s">
        <v>745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Dashboard</vt:lpstr>
      <vt:lpstr>Progress Report</vt:lpstr>
      <vt:lpstr>Report Award Reports</vt:lpstr>
      <vt:lpstr>AUDITS</vt:lpstr>
      <vt:lpstr>NMI</vt:lpstr>
      <vt:lpstr>IR</vt:lpstr>
      <vt:lpstr>EI</vt:lpstr>
      <vt:lpstr>Audit Logs</vt:lpstr>
      <vt:lpstr>TR</vt:lpstr>
      <vt:lpstr>L.ID</vt:lpstr>
      <vt:lpstr>Close</vt:lpstr>
      <vt:lpstr>In_Progress</vt:lpstr>
      <vt:lpstr>Months</vt:lpstr>
      <vt:lpstr>NMI!NM</vt:lpstr>
      <vt:lpstr>Open</vt:lpstr>
      <vt:lpstr>Overdue</vt:lpstr>
      <vt:lpstr>'Report Award Reports'!Print_Area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Maareke Uriam</dc:creator>
  <cp:keywords/>
  <dc:description/>
  <cp:lastModifiedBy>Maareke Timiti</cp:lastModifiedBy>
  <cp:revision/>
  <dcterms:created xsi:type="dcterms:W3CDTF">2025-05-29T12:01:55Z</dcterms:created>
  <dcterms:modified xsi:type="dcterms:W3CDTF">2025-11-24T03:16:30Z</dcterms:modified>
  <cp:category/>
  <cp:contentStatus/>
</cp:coreProperties>
</file>